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Familles" sheetId="2" state="visible" r:id="rId4"/>
    <sheet name="Prestations" sheetId="3" state="visible" r:id="rId5"/>
    <sheet name="Exemple" sheetId="4" state="visible" r:id="rId6"/>
  </sheets>
  <definedNames>
    <definedName function="false" hidden="true" localSheetId="2" name="_xlnm._FilterDatabase" vbProcedure="false">Prestations!$A$4:$K$256</definedName>
    <definedName function="false" hidden="false" name="BonusDifficile" vbProcedure="false">'Mode d''emploi'!$B$19</definedName>
    <definedName function="false" hidden="false" name="HeuresJour" vbProcedure="false">'Mode d''emploi'!$B$16</definedName>
    <definedName function="false" hidden="false" name="MajHNO" vbProcedure="false">'Mode d''emploi'!$B$18</definedName>
    <definedName function="false" hidden="false" name="MinParPoint" vbProcedure="false">'Mode d''emploi'!$B$15</definedName>
    <definedName function="false" hidden="false" name="PointsJour" vbProcedure="false">'Mode d''emploi'!$B$17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Estimation de départ proposée par Claude, à corriger avec l'expérience des techniciens.</t>
        </r>
      </text>
    </comment>
  </commentList>
</comments>
</file>

<file path=xl/sharedStrings.xml><?xml version="1.0" encoding="utf-8"?>
<sst xmlns="http://schemas.openxmlformats.org/spreadsheetml/2006/main" count="1777" uniqueCount="731">
  <si>
    <t xml:space="preserve">BARÈME DE POINTS — MESURER LE TRAVAIL DES TECHNICIENS, PAS LE PRIX</t>
  </si>
  <si>
    <t xml:space="preserve">Chaque type de tâche vaut des points selon le temps et la difficulté réels, pas selon ce qu'elle rapporte.</t>
  </si>
  <si>
    <t xml:space="preserve">La facturation ne change pas : les euros restent dans ton Excel pour les clients. Les points servent seulement à comparer les techniciens entre eux, de façon juste.</t>
  </si>
  <si>
    <t xml:space="preserve">CE QUE TU AS À FAIRE</t>
  </si>
  <si>
    <t xml:space="preserve">1. Onglet « Familles » : corrige les temps de la colonne D (cases jaunes). Ce sont des estimations de départ, à valider avec les techniciens.</t>
  </si>
  <si>
    <t xml:space="preserve">2. Onglet « Prestations » : si une prestation ne correspond pas à sa famille, change sa famille (liste en colonne F) ou mets un temps à part en colonne H (cases jaunes).</t>
  </si>
  <si>
    <t xml:space="preserve">3. Les réglages ci-dessous (cases jaunes) : valeur d'un point, durée de la journée, majoration de nuit.</t>
  </si>
  <si>
    <t xml:space="preserve">4. Onglet « Exemple » : une journée type pour voir le calcul. Tu peux y changer les codes et les quantités.</t>
  </si>
  <si>
    <t xml:space="preserve">Cases jaunes, chiffres en bleu = à saisir ou à corriger. Chiffres en noir = calculés, ne pas modifier.</t>
  </si>
  <si>
    <t xml:space="preserve">RÉGLAGES</t>
  </si>
  <si>
    <t xml:space="preserve">Minutes de travail pour 1 point</t>
  </si>
  <si>
    <t xml:space="preserve">1 point = 15 minutes de travail normal. Proposition à valider.</t>
  </si>
  <si>
    <t xml:space="preserve">Heures de travail dans une journée</t>
  </si>
  <si>
    <t xml:space="preserve">Journée de référence pour calculer le taux. Proposition à valider.</t>
  </si>
  <si>
    <t xml:space="preserve">Points attendus pour une journée</t>
  </si>
  <si>
    <t xml:space="preserve">Calculé : une journée normale vaut ce nombre de points (100 %).</t>
  </si>
  <si>
    <t xml:space="preserve">Majoration pour une intervention de nuit (HNO)</t>
  </si>
  <si>
    <t xml:space="preserve">Proposition : +25 % sur les prestations de nuit, pour la pénibilité. Mets 0 % pour ne rien majorer.</t>
  </si>
  <si>
    <t xml:space="preserve">Bonus « intervention difficile »</t>
  </si>
  <si>
    <t xml:space="preserve">Pour plus tard : bonus que le technicien demande et que tu valides. Pas encore utilisé dans le calcul.</t>
  </si>
  <si>
    <t xml:space="preserve">POURQUOI C'EST PLUS JUSTE</t>
  </si>
  <si>
    <t xml:space="preserve">• Un technicien est comparé à la journée de référence, pas aux tarifs du client : 28 points sur une journée de 7 h = 100 %, quel que soit le projet.</t>
  </si>
  <si>
    <t xml:space="preserve">• Les tâches longues ou difficiles rapportent autant de points que le temps qu'elles demandent, même si elles sont mal payées.</t>
  </si>
  <si>
    <t xml:space="preserve">• Les congés et absences sont retirés des jours travaillés : ils ne font pas baisser le taux.</t>
  </si>
  <si>
    <t xml:space="preserve">• Au bout d'un mois, on pourra comparer ces temps avec la réalité et ajuster le barème.</t>
  </si>
  <si>
    <t xml:space="preserve">FAMILLES DE TÂCHES ET TEMPS STANDARDS</t>
  </si>
  <si>
    <t xml:space="preserve">Corrige seulement la colonne D (minutes par unité). Les points et le nombre de prestations se calculent seuls.</t>
  </si>
  <si>
    <t xml:space="preserve">Famille</t>
  </si>
  <si>
    <t xml:space="preserve">Ce qui est compté</t>
  </si>
  <si>
    <t xml:space="preserve">Exemples de prestations</t>
  </si>
  <si>
    <t xml:space="preserve">Temps estimé (min / unité)</t>
  </si>
  <si>
    <t xml:space="preserve">Points / unité</t>
  </si>
  <si>
    <t xml:space="preserve">Nb de prestations</t>
  </si>
  <si>
    <t xml:space="preserve">Remarque</t>
  </si>
  <si>
    <t xml:space="preserve">Ticket intervention</t>
  </si>
  <si>
    <t xml:space="preserve">par ticket</t>
  </si>
  <si>
    <t xml:space="preserve">Ticket</t>
  </si>
  <si>
    <t xml:space="preserve">Ticket de maintenance : déplacement local, diagnostic, réparation simple.</t>
  </si>
  <si>
    <t xml:space="preserve">Malfaçon aérien</t>
  </si>
  <si>
    <t xml:space="preserve">Reprise en hauteur (échelle ou nacelle).</t>
  </si>
  <si>
    <t xml:space="preserve">Malfaçon souterrain</t>
  </si>
  <si>
    <t xml:space="preserve">Reprise en chambre.</t>
  </si>
  <si>
    <t xml:space="preserve">Heure de technicien</t>
  </si>
  <si>
    <t xml:space="preserve">par heure</t>
  </si>
  <si>
    <t xml:space="preserve">RHD57 · Heure technicien HO · intervention immédiate · RHD57 · Heure technicien HO · intervention programmée · RHD57 · Heure technicien HNO</t>
  </si>
  <si>
    <t xml:space="preserve">Prestations facturées à l'heure : 1 h = 1 h de travail. En binôme, chaque technicien saisit sa ligne.</t>
  </si>
  <si>
    <t xml:space="preserve">City Fast N1 · site (PM, DME)</t>
  </si>
  <si>
    <t xml:space="preserve">par intervention</t>
  </si>
  <si>
    <t xml:space="preserve">City Fast N1 Site (PM, DME) · Urgente 4h · HO 7h-19h · City Fast N1 Site (PM, DME) · Urgente 4h · HNO 19h-7h · City Fast N1 Site (PM, DME) · Standard Plus 24h · HO 7h-19h</t>
  </si>
  <si>
    <t xml:space="preserve">Délai (urgent, standard) et horaire ne changent pas le travail : seule l'heure de nuit est majorée (voir Réglages).</t>
  </si>
  <si>
    <t xml:space="preserve">City Fast N2 · BPE en chambre</t>
  </si>
  <si>
    <t xml:space="preserve">City Fast N2 Extrémité câble en chambre (BPE) · Urgente 4h · HO 7h-19h · City Fast N2 Extrémité câble en chambre (BPE) · Urgente 4h · HNO 19h-7h · City Fast N2 Extrémité câble en chambre (BPE) · Standard Plus 24h · HO 7h-19h</t>
  </si>
  <si>
    <t xml:space="preserve">City Fast N3 · câble en conduite</t>
  </si>
  <si>
    <t xml:space="preserve">City Fast N3 Câble en conduite (tirage) · Urgente 4h · HO 7h-19h · City Fast N3 Câble en conduite (tirage) · Urgente 4h · HNO 19h-7h · City Fast N3 Câble en conduite (tirage) · Standard Plus 24h · HO 7h-19h</t>
  </si>
  <si>
    <t xml:space="preserve">Tirage de câble : souvent une grosse demi-journée.</t>
  </si>
  <si>
    <t xml:space="preserve">SAV niveau 0</t>
  </si>
  <si>
    <t xml:space="preserve">SAV F0 · Niveau 0 · SAV F0 · Niveau 0 en HNO</t>
  </si>
  <si>
    <t xml:space="preserve">SAV niveau 1</t>
  </si>
  <si>
    <t xml:space="preserve">SAV F1 · Niveau 1 (inclut F0) · SAV F1 · Niveau 1 en HNO (inclut F0)</t>
  </si>
  <si>
    <t xml:space="preserve">Inclut le niveau 0.</t>
  </si>
  <si>
    <t xml:space="preserve">SAV niveau 2</t>
  </si>
  <si>
    <t xml:space="preserve">SAV F2 · Niveau 2 (inclut F1) · SAV F2 · Niveau 2 en HNO (inclut F1)</t>
  </si>
  <si>
    <t xml:space="preserve">Inclut le niveau 1.</t>
  </si>
  <si>
    <t xml:space="preserve">Raccordement entreprise en immeuble</t>
  </si>
  <si>
    <t xml:space="preserve">par raccordement</t>
  </si>
  <si>
    <t xml:space="preserve">Super forfait · FTTE · Super forfait · lien supplémentaire · 46.1 · Entreprise en immeuble · avec route optique</t>
  </si>
  <si>
    <t xml:space="preserve">46.x, 47.x, 59.1 FTTE, super forfait FTTE et lien supplémentaire.</t>
  </si>
  <si>
    <t xml:space="preserve">Raccordement entreprise avec extension (Z50 à Z200)</t>
  </si>
  <si>
    <t xml:space="preserve">Super forfait · Z100 (NEW) · Super forfait · Z200 (NEW) · 48.1 · Entreprise Z50 · 4 FO · avec route optique</t>
  </si>
  <si>
    <t xml:space="preserve">48.x à 53.x et super forfaits Z100 / Z200. Le câble posé en plus se compte au mètre.</t>
  </si>
  <si>
    <t xml:space="preserve">Raccordement FTTH Pro</t>
  </si>
  <si>
    <t xml:space="preserve">60.1 · FTTH Pro · raccordement immeuble (création PTO) · 60.2 · FTTH Pro · raccordement chambre / poteau / façade · 60.4 · FTTH Pro · raccordement PTO existante</t>
  </si>
  <si>
    <t xml:space="preserve">60.1 à 60.5, 62.9 (création ou déplacement de PTO).</t>
  </si>
  <si>
    <t xml:space="preserve">Petite intervention équipement</t>
  </si>
  <si>
    <t xml:space="preserve">56.2 · Changement et mise en service de CPE · 56.3 · Installation équipement client opérateur (forfait 2 h) · 57.1 · Résiliation entreprise (récupération CPE)</t>
  </si>
  <si>
    <t xml:space="preserve">CPE, ONT, tiroir, résiliation, upgrade simple.</t>
  </si>
  <si>
    <t xml:space="preserve">Mise en service / upgrade</t>
  </si>
  <si>
    <t xml:space="preserve">56.1 · Entreprise upgrade (intervention physique) · 60.8 · Mise en service FTTE sur lien existant (réseau tiers)</t>
  </si>
  <si>
    <t xml:space="preserve">56.1 upgrade, 60.8 mise en service FTTE.</t>
  </si>
  <si>
    <t xml:space="preserve">Visite technique</t>
  </si>
  <si>
    <t xml:space="preserve">par visite</t>
  </si>
  <si>
    <t xml:space="preserve">61.1 · Visite technique FTTH Pro · cas simple · 61.2 · Visite technique FTTH Pro · cas complexe (aiguillage) · 61.3 · Visite technique · option aiguillage</t>
  </si>
  <si>
    <t xml:space="preserve">61.1 à 61.3.</t>
  </si>
  <si>
    <t xml:space="preserve">Câble posé ou tiré</t>
  </si>
  <si>
    <t xml:space="preserve">par mètre</t>
  </si>
  <si>
    <t xml:space="preserve">55.1 · Raccordement long / extension · câble 4 FO (au ml) · 55.2 · Extension du réseau · câble 12 FO (au ml) · 55.3 · Extension du réseau · câble 24 FO (au ml)</t>
  </si>
  <si>
    <t xml:space="preserve">Conduite, aérien, façade, immeuble, extension. 1 min/m ≈ 400 m par jour.</t>
  </si>
  <si>
    <t xml:space="preserve">Aiguillage / dépose / portage de câble</t>
  </si>
  <si>
    <t xml:space="preserve">11.6 · Portage de câble (au ml) · 11.9 · Aiguillage de conduite existante (études) · 11.10 · Dépose de câble (au ml)</t>
  </si>
  <si>
    <t xml:space="preserve">Chemin de câble, goulotte, gaine</t>
  </si>
  <si>
    <t xml:space="preserve">62.2 · Goulotte, fourniture + pose (au ml) · 12.1 · Chemin de câble cablofil 50×50 sur équerre (au ml) · 12.2 · Gaine fendue (au ml)</t>
  </si>
  <si>
    <t xml:space="preserve">Fixation au mur ou au plafond.</t>
  </si>
  <si>
    <t xml:space="preserve">Percement simple</t>
  </si>
  <si>
    <t xml:space="preserve">par percement</t>
  </si>
  <si>
    <t xml:space="preserve">12.5 · Percement cloison / mur parpaing</t>
  </si>
  <si>
    <t xml:space="preserve">Cloison, parpaing.</t>
  </si>
  <si>
    <t xml:space="preserve">Carottage / percement spécifique</t>
  </si>
  <si>
    <t xml:space="preserve">62.3 · Percement spécifique (traversée d'étage, carottage) · 12.6 · Carottage de mur béton armé</t>
  </si>
  <si>
    <t xml:space="preserve">Béton armé, traversée d'étage.</t>
  </si>
  <si>
    <t xml:space="preserve">Soudure à la fibre</t>
  </si>
  <si>
    <t xml:space="preserve">par fibre</t>
  </si>
  <si>
    <t xml:space="preserve">15.14 · Joint blanc (lovage) · soudure supplémentaire (à la fibre) · 16.14 · Joint blanc (tubes) · soudure supplémentaire (à la fibre) · 17.2 · Soudure supplémentaire (rentrée dans boîte existante)</t>
  </si>
  <si>
    <t xml:space="preserve">Soudures supplémentaires.</t>
  </si>
  <si>
    <t xml:space="preserve">Boîte d'épissure (joint) jusqu'à 48 FO</t>
  </si>
  <si>
    <t xml:space="preserve">par boîte</t>
  </si>
  <si>
    <t xml:space="preserve">14.10 · Joint droit · 48 FO · 14.11 · Joint droit · 36 FO · 14.12 · Joint droit · 24 FO</t>
  </si>
  <si>
    <t xml:space="preserve">Joints droits ou blancs (lovage, tubes).</t>
  </si>
  <si>
    <t xml:space="preserve">Boîte d'épissure (joint) 72 à 144 FO</t>
  </si>
  <si>
    <t xml:space="preserve">14.7 · Joint droit · 144 FO · 14.8 · Joint droit · 96 FO · 14.9 · Joint droit · 72 FO</t>
  </si>
  <si>
    <t xml:space="preserve">Boîte d'épissure (joint) 192 à 288 FO</t>
  </si>
  <si>
    <t xml:space="preserve">14.5 · Joint droit · 288 FO · 14.6 · Joint droit · 192 FO · 15.5 · Joint blanc (lovage) · 288 FO</t>
  </si>
  <si>
    <t xml:space="preserve">Boîte d'épissure (joint) 432 FO et plus</t>
  </si>
  <si>
    <t xml:space="preserve">14.1 · Joint droit · 864 FO · 14.2 · Joint droit · 720 FO · 14.3 · Joint droit · 576 FO</t>
  </si>
  <si>
    <t xml:space="preserve">Souvent plus d'une journée.</t>
  </si>
  <si>
    <t xml:space="preserve">Rentrée / piquage dans une BPE</t>
  </si>
  <si>
    <t xml:space="preserve">58.1 · Intervention sur BPE non identifiée · 58.2 · Intervention sur BPE identifiée (supplémentaire) · 17.1 · Rentrée + soudures dans boîte existante (2 à 12 FO)</t>
  </si>
  <si>
    <t xml:space="preserve">17.1, 17.3, 17.5, 58.x.</t>
  </si>
  <si>
    <t xml:space="preserve">Fermeture / fixation de BPE</t>
  </si>
  <si>
    <t xml:space="preserve">17.7 · Fermeture / fixation de BPE + étiquetage</t>
  </si>
  <si>
    <t xml:space="preserve">Audit BPE jusqu'à 288 FO</t>
  </si>
  <si>
    <t xml:space="preserve">18.1 · Audit et récolement BPE complet jusqu'à 72 FO · 18.2 · Audit et récolement BPE complet jusqu'à 144 FO · 18.3 · Audit et récolement BPE complet jusqu'à 288 FO</t>
  </si>
  <si>
    <t xml:space="preserve">Audit BPE plus de 288 FO</t>
  </si>
  <si>
    <t xml:space="preserve">18.4 · Audit et récolement BPE complet jusqu'à 432 FO · 18.5 · Audit et récolement BPE complet jusqu'à 720 FO · 18.6 · Audit et récolement BPE complet jusqu'à 864 FO</t>
  </si>
  <si>
    <t xml:space="preserve">Récolement lors de modification</t>
  </si>
  <si>
    <t xml:space="preserve">18.7 · Récolement BPE complet lors de modification</t>
  </si>
  <si>
    <t xml:space="preserve">Tête de câble jusqu'à 24 FO</t>
  </si>
  <si>
    <t xml:space="preserve">par tête</t>
  </si>
  <si>
    <t xml:space="preserve">19.6 · Raccordement de tête de câble · 24 FO · 19.7 · Raccordement de tête de câble · 12 FO · 19.8 · Raccordement de tête de câble · 6 FO</t>
  </si>
  <si>
    <t xml:space="preserve">Tête de câble 36 à 72 FO</t>
  </si>
  <si>
    <t xml:space="preserve">19.3 · Raccordement de tête de câble · 72 FO · 19.4 · Raccordement de tête de câble · 48 FO · 19.5 · Raccordement de tête de câble · 36 FO</t>
  </si>
  <si>
    <t xml:space="preserve">Tête de câble 96 à 144 FO</t>
  </si>
  <si>
    <t xml:space="preserve">19.1 · Raccordement de tête de câble · 144 FO · 19.2 · Raccordement de tête de câble · 96 FO</t>
  </si>
  <si>
    <t xml:space="preserve">Mesure de liaison client</t>
  </si>
  <si>
    <t xml:space="preserve">par mesure</t>
  </si>
  <si>
    <t xml:space="preserve">20.1 · Mesure de liaison fibre POP/NRO → client (1 à 36 FO)</t>
  </si>
  <si>
    <t xml:space="preserve">20.1.</t>
  </si>
  <si>
    <t xml:space="preserve">Mesure de liaison BPE à BPE</t>
  </si>
  <si>
    <t xml:space="preserve">20.2 · Mesure de liaison BPE à BPE · câble 48 FO · 20.3 · Mesure de liaison BPE à BPE · câble 72 FO · 20.4 · Mesure de liaison BPE à BPE · câble 144 FO</t>
  </si>
  <si>
    <t xml:space="preserve">20.2 à 20.4.</t>
  </si>
  <si>
    <t xml:space="preserve">Mesure réflectométrique</t>
  </si>
  <si>
    <t xml:space="preserve">20.5 · Mesures réflectométriques (1 à 2 fibres)</t>
  </si>
  <si>
    <t xml:space="preserve">Jarretière, coupleur, breakout</t>
  </si>
  <si>
    <t xml:space="preserve">par unité</t>
  </si>
  <si>
    <t xml:space="preserve">59.3 · Fourniture jarretière sécurisée · 20.10 · Installation de coupleur · 20.11 · Pose d'un breakout</t>
  </si>
  <si>
    <t xml:space="preserve">Tiroir PM / baie / départ électrique</t>
  </si>
  <si>
    <t xml:space="preserve">20.8 · Installation baie informatique 6U · 20.9 · Installation départ électrique · 20.19 · Remplacement tiroir + fibre dégroupage PM</t>
  </si>
  <si>
    <t xml:space="preserve">20.8, 20.9, 20.19, 22.5.</t>
  </si>
  <si>
    <t xml:space="preserve">Pompage de chambre</t>
  </si>
  <si>
    <t xml:space="preserve">par chambre</t>
  </si>
  <si>
    <t xml:space="preserve">62.10 · Pompage de chambre · 11.12 · Pompage de chambre</t>
  </si>
  <si>
    <t xml:space="preserve">Pompage de chambre plafonnée</t>
  </si>
  <si>
    <t xml:space="preserve">11.13 · Pompage de chambre plafonnée</t>
  </si>
  <si>
    <t xml:space="preserve">Poteau / travaux en hauteur intérieur</t>
  </si>
  <si>
    <t xml:space="preserve">62.4 · Travaux en hauteur intérieur (élévateur) · 62.6 · Armement de poteau (réhausse / traverse)</t>
  </si>
  <si>
    <t xml:space="preserve">62.4 élévateur, 62.6 armement de poteau.</t>
  </si>
  <si>
    <t xml:space="preserve">Gros travaux / génie civil</t>
  </si>
  <si>
    <t xml:space="preserve">62.5 · Hydrocurage de fourreaux · 62.7 · Réparation de fourreaux en domaine public · 62.8 · Décroutage et réhausse de chambre</t>
  </si>
  <si>
    <t xml:space="preserve">Hydrocurage, réparation de fourreaux, chambre, armoire, NRO, shelter, élagage. Souvent sous-traité : à ajuster.</t>
  </si>
  <si>
    <t xml:space="preserve">Étude simple / DOE</t>
  </si>
  <si>
    <t xml:space="preserve">par étude</t>
  </si>
  <si>
    <t xml:space="preserve">Étude 1.1 · Forfait APS · Étude 2.1 · APD GC · Étude 2.2 · APD + DOE · linéaire cumulé ≤ 15 ml</t>
  </si>
  <si>
    <t xml:space="preserve">Travail de bureau ou de terrain léger.</t>
  </si>
  <si>
    <t xml:space="preserve">Étude complexe</t>
  </si>
  <si>
    <t xml:space="preserve">Étude 2.3 · APD + DOE · linéaire cumulé ≤ 150 ml · Étude 3.2 · Commande BLO complexe (≥ 2 communes ou &gt; 100 CH) · Étude 4.2 · Commande BLO / Enedis aérien complexe</t>
  </si>
  <si>
    <t xml:space="preserve">2.3, 3.2, 4.2, 8.3.</t>
  </si>
  <si>
    <t xml:space="preserve">Étude grande (jusqu'à 500 m)</t>
  </si>
  <si>
    <t xml:space="preserve">Étude 2.4 · APD + DOE · linéaire cumulé ≤ 500 ml</t>
  </si>
  <si>
    <t xml:space="preserve">2.4.</t>
  </si>
  <si>
    <t xml:space="preserve">Étude au mètre (au-delà de 500 m)</t>
  </si>
  <si>
    <t xml:space="preserve">Étude 2.5 · APD + DOE · au-delà de 500 ml (au ml)</t>
  </si>
  <si>
    <t xml:space="preserve">2.5.</t>
  </si>
  <si>
    <t xml:space="preserve">Survey / réunion / audit (½ journée)</t>
  </si>
  <si>
    <t xml:space="preserve">Étude 5.1 · Survey / réunion concessionnaire / audit (½ journée)</t>
  </si>
  <si>
    <t xml:space="preserve">5.1.</t>
  </si>
  <si>
    <t xml:space="preserve">Test d'étanchéité de boîte</t>
  </si>
  <si>
    <t xml:space="preserve">Étude 6.3 · Test d'étanchéité de boîtes d'épissure</t>
  </si>
  <si>
    <t xml:space="preserve">6.3.</t>
  </si>
  <si>
    <t xml:space="preserve">Sans temps (matériel, plus-value)</t>
  </si>
  <si>
    <t xml:space="preserve">—</t>
  </si>
  <si>
    <t xml:space="preserve">RHD57 · Nacelle exceptionnelle &gt; 16 m (par mètre) · 55.5 · Extension du réseau · plus-value câble 48 FO (au ml) · 55.6 · Extension du réseau · plus-value câble 72 FO (au ml)</t>
  </si>
  <si>
    <t xml:space="preserve">Lignes de prix seules : location de nacelle, plus-value de câble, fourniture, rendez-vous, majoration hotline. Ne comptent pas de travail.</t>
  </si>
  <si>
    <t xml:space="preserve">Sur devis : temps à saisir</t>
  </si>
  <si>
    <t xml:space="preserve">12.9 · Désamiantage de la zone de percement (devis) · 12.15 · Rocade optique en datacenter (devis)</t>
  </si>
  <si>
    <t xml:space="preserve">Désamiantage, rocade datacenter : saisir un temps spécifique dans « Prestations ».</t>
  </si>
  <si>
    <t xml:space="preserve">Absence (non comptée)</t>
  </si>
  <si>
    <t xml:space="preserve">par journée</t>
  </si>
  <si>
    <t xml:space="preserve">Journée de congés · Journée d'absence</t>
  </si>
  <si>
    <t xml:space="preserve">Congés, absences : la journée est retirée des jours travaillés, ce n'est pas un manque de production.</t>
  </si>
  <si>
    <t xml:space="preserve">PRESTATIONS DU BPU ET LEURS POINTS</t>
  </si>
  <si>
    <t xml:space="preserve">Change la famille (colonne F) ou mets un temps à part (colonne H) si besoin. Colonne I : « oui » = intervention de nuit, majorée.</t>
  </si>
  <si>
    <t xml:space="preserve">Projet</t>
  </si>
  <si>
    <t xml:space="preserve">Contrat / réseau</t>
  </si>
  <si>
    <t xml:space="preserve">Code BPU</t>
  </si>
  <si>
    <t xml:space="preserve">Prestation</t>
  </si>
  <si>
    <t xml:space="preserve">Unité</t>
  </si>
  <si>
    <t xml:space="preserve">Temps famille (min)</t>
  </si>
  <si>
    <t xml:space="preserve">Temps à part (min)</t>
  </si>
  <si>
    <t xml:space="preserve">Nuit (HNO)</t>
  </si>
  <si>
    <t xml:space="preserve">Temps retenu (min)</t>
  </si>
  <si>
    <t xml:space="preserve">Points</t>
  </si>
  <si>
    <t xml:space="preserve">AXIONE</t>
  </si>
  <si>
    <t xml:space="preserve">RHD57</t>
  </si>
  <si>
    <t xml:space="preserve">MC-T1</t>
  </si>
  <si>
    <t xml:space="preserve">RHD57 · Heure technicien HO · intervention immédiate</t>
  </si>
  <si>
    <t xml:space="preserve">Forfait par heure</t>
  </si>
  <si>
    <t xml:space="preserve">MC-T2</t>
  </si>
  <si>
    <t xml:space="preserve">RHD57 · Heure technicien HO · intervention programmée</t>
  </si>
  <si>
    <t xml:space="preserve">MC-T3</t>
  </si>
  <si>
    <t xml:space="preserve">RHD57 · Heure technicien HNO</t>
  </si>
  <si>
    <t xml:space="preserve">oui</t>
  </si>
  <si>
    <t xml:space="preserve">MC-T4</t>
  </si>
  <si>
    <t xml:space="preserve">RHD57 · 2 techniciens + nacelle ≤ 16 m · HO</t>
  </si>
  <si>
    <t xml:space="preserve">MC-T5</t>
  </si>
  <si>
    <t xml:space="preserve">RHD57 · 2 techniciens + nacelle ≤ 16 m · HNO</t>
  </si>
  <si>
    <t xml:space="preserve">MC-T6</t>
  </si>
  <si>
    <t xml:space="preserve">RHD57 · Nacelle exceptionnelle &gt; 16 m (par mètre)</t>
  </si>
  <si>
    <t xml:space="preserve">Par mètre (hauteur nacelle)</t>
  </si>
  <si>
    <t xml:space="preserve">CITY FAST</t>
  </si>
  <si>
    <t xml:space="preserve">CF-N1-URG-HO</t>
  </si>
  <si>
    <t xml:space="preserve">City Fast N1 Site (PM, DME) · Urgente 4h · HO 7h-19h</t>
  </si>
  <si>
    <t xml:space="preserve">À l'intervention (prix STT)</t>
  </si>
  <si>
    <t xml:space="preserve">CF-N1-URG-HNO</t>
  </si>
  <si>
    <t xml:space="preserve">City Fast N1 Site (PM, DME) · Urgente 4h · HNO 19h-7h</t>
  </si>
  <si>
    <t xml:space="preserve">CF-N1-STDPLUS</t>
  </si>
  <si>
    <t xml:space="preserve">City Fast N1 Site (PM, DME) · Standard Plus 24h · HO 7h-19h</t>
  </si>
  <si>
    <t xml:space="preserve">CF-N1-STD</t>
  </si>
  <si>
    <t xml:space="preserve">City Fast N1 Site (PM, DME) · Standard 5j/7 · HO 7h-19h</t>
  </si>
  <si>
    <t xml:space="preserve">CF-N2-URG-HO</t>
  </si>
  <si>
    <t xml:space="preserve">City Fast N2 Extrémité câble en chambre (BPE) · Urgente 4h · HO 7h-19h</t>
  </si>
  <si>
    <t xml:space="preserve">CF-N2-URG-HNO</t>
  </si>
  <si>
    <t xml:space="preserve">City Fast N2 Extrémité câble en chambre (BPE) · Urgente 4h · HNO 19h-7h</t>
  </si>
  <si>
    <t xml:space="preserve">CF-N2-STDPLUS</t>
  </si>
  <si>
    <t xml:space="preserve">City Fast N2 Extrémité câble en chambre (BPE) · Standard Plus 24h · HO 7h-19h</t>
  </si>
  <si>
    <t xml:space="preserve">CF-N2-STD</t>
  </si>
  <si>
    <t xml:space="preserve">City Fast N2 Extrémité câble en chambre (BPE) · Standard 5j/7 · HO 7h-19h</t>
  </si>
  <si>
    <t xml:space="preserve">CF-N3-URG-HO</t>
  </si>
  <si>
    <t xml:space="preserve">City Fast N3 Câble en conduite (tirage) · Urgente 4h · HO 7h-19h</t>
  </si>
  <si>
    <t xml:space="preserve">CF-N3-URG-HNO</t>
  </si>
  <si>
    <t xml:space="preserve">City Fast N3 Câble en conduite (tirage) · Urgente 4h · HNO 19h-7h</t>
  </si>
  <si>
    <t xml:space="preserve">CF-N3-STDPLUS</t>
  </si>
  <si>
    <t xml:space="preserve">City Fast N3 Câble en conduite (tirage) · Standard Plus 24h · HO 7h-19h</t>
  </si>
  <si>
    <t xml:space="preserve">CF-N3-STD</t>
  </si>
  <si>
    <t xml:space="preserve">City Fast N3 Câble en conduite (tirage) · Standard 5j/7 · HO 7h-19h</t>
  </si>
  <si>
    <t xml:space="preserve">COVAGE</t>
  </si>
  <si>
    <t xml:space="preserve">COVAGE-TICKET</t>
  </si>
  <si>
    <t xml:space="preserve">Le ticket</t>
  </si>
  <si>
    <t xml:space="preserve">ALTITUDE</t>
  </si>
  <si>
    <t xml:space="preserve">ALTITUDE-TICKET</t>
  </si>
  <si>
    <t xml:space="preserve">COVAGE · hors BPU</t>
  </si>
  <si>
    <t xml:space="preserve">ALTITUDE-MALF-AERIEN</t>
  </si>
  <si>
    <t xml:space="preserve">ALTITUDE-MALF-SOUT</t>
  </si>
  <si>
    <t xml:space="preserve">CELESTE</t>
  </si>
  <si>
    <t xml:space="preserve">SAV</t>
  </si>
  <si>
    <t xml:space="preserve">SAV-F0</t>
  </si>
  <si>
    <t xml:space="preserve">SAV F0 · Niveau 0</t>
  </si>
  <si>
    <t xml:space="preserve">U (forfait)</t>
  </si>
  <si>
    <t xml:space="preserve">SAV-F0-HNO</t>
  </si>
  <si>
    <t xml:space="preserve">SAV F0 · Niveau 0 en HNO</t>
  </si>
  <si>
    <t xml:space="preserve">SAV-F1</t>
  </si>
  <si>
    <t xml:space="preserve">SAV F1 · Niveau 1 (inclut F0)</t>
  </si>
  <si>
    <t xml:space="preserve">SAV-F1-HNO</t>
  </si>
  <si>
    <t xml:space="preserve">SAV F1 · Niveau 1 en HNO (inclut F0)</t>
  </si>
  <si>
    <t xml:space="preserve">SAV-F2</t>
  </si>
  <si>
    <t xml:space="preserve">SAV F2 · Niveau 2 (inclut F1)</t>
  </si>
  <si>
    <t xml:space="preserve">SAV-F2-HNO</t>
  </si>
  <si>
    <t xml:space="preserve">SAV F2 · Niveau 2 en HNO (inclut F1)</t>
  </si>
  <si>
    <t xml:space="preserve">IELO</t>
  </si>
  <si>
    <t xml:space="preserve">IELO-TICKET</t>
  </si>
  <si>
    <t xml:space="preserve">FREE</t>
  </si>
  <si>
    <t xml:space="preserve">FREE-TICKET</t>
  </si>
  <si>
    <t xml:space="preserve">LOSANGE</t>
  </si>
  <si>
    <t xml:space="preserve">LOSANGE-TICKET</t>
  </si>
  <si>
    <t xml:space="preserve">LOSANGE-MALF-AERIEN</t>
  </si>
  <si>
    <t xml:space="preserve">LOSANGE-MALF-SOUT</t>
  </si>
  <si>
    <t xml:space="preserve">CONGÉS</t>
  </si>
  <si>
    <t xml:space="preserve">CONGES-JOUR</t>
  </si>
  <si>
    <t xml:space="preserve">Journée de congés</t>
  </si>
  <si>
    <t xml:space="preserve">La journée</t>
  </si>
  <si>
    <t xml:space="preserve">ABSENCE</t>
  </si>
  <si>
    <t xml:space="preserve">ABSENCE-JOUR</t>
  </si>
  <si>
    <t xml:space="preserve">Journée d'absence</t>
  </si>
  <si>
    <t xml:space="preserve">Super forfaits</t>
  </si>
  <si>
    <t xml:space="preserve">COV-SF-Z100</t>
  </si>
  <si>
    <t xml:space="preserve">Super forfait · Z100 (NEW)</t>
  </si>
  <si>
    <t xml:space="preserve">Forfait</t>
  </si>
  <si>
    <t xml:space="preserve">COV-SF-Z200</t>
  </si>
  <si>
    <t xml:space="preserve">Super forfait · Z200 (NEW)</t>
  </si>
  <si>
    <t xml:space="preserve">COV-SF-FTTE</t>
  </si>
  <si>
    <t xml:space="preserve">Super forfait · FTTE</t>
  </si>
  <si>
    <t xml:space="preserve">COV-SF-LIEN</t>
  </si>
  <si>
    <t xml:space="preserve">Super forfait · lien supplémentaire</t>
  </si>
  <si>
    <t xml:space="preserve">Raccordements</t>
  </si>
  <si>
    <t xml:space="preserve">COV-46.1</t>
  </si>
  <si>
    <t xml:space="preserve">46.1 · Entreprise en immeuble · avec route optique</t>
  </si>
  <si>
    <t xml:space="preserve">COV-46.2</t>
  </si>
  <si>
    <t xml:space="preserve">46.2 · Entreprise en immeuble · sans route optique</t>
  </si>
  <si>
    <t xml:space="preserve">COV-47.1</t>
  </si>
  <si>
    <t xml:space="preserve">47.1 · Entreprise lien supplémentaire · avec route optique</t>
  </si>
  <si>
    <t xml:space="preserve">COV-47.2</t>
  </si>
  <si>
    <t xml:space="preserve">47.2 · Entreprise lien supplémentaire · sans route optique</t>
  </si>
  <si>
    <t xml:space="preserve">COV-48.1</t>
  </si>
  <si>
    <t xml:space="preserve">48.1 · Entreprise Z50 · 4 FO · avec route optique</t>
  </si>
  <si>
    <t xml:space="preserve">COV-48.2</t>
  </si>
  <si>
    <t xml:space="preserve">48.2 · Entreprise Z50 · 4 FO · sans route optique</t>
  </si>
  <si>
    <t xml:space="preserve">COV-49.1</t>
  </si>
  <si>
    <t xml:space="preserve">49.1 · Entreprise Z50 · 12 FO · avec route optique</t>
  </si>
  <si>
    <t xml:space="preserve">COV-49.2</t>
  </si>
  <si>
    <t xml:space="preserve">49.2 · Entreprise Z50 · 12 FO · sans route optique</t>
  </si>
  <si>
    <t xml:space="preserve">COV-50.1</t>
  </si>
  <si>
    <t xml:space="preserve">50.1 · Entreprise Z100 · 4 FO · avec route optique</t>
  </si>
  <si>
    <t xml:space="preserve">COV-50.2</t>
  </si>
  <si>
    <t xml:space="preserve">50.2 · Entreprise Z100 · 4 FO · sans route optique</t>
  </si>
  <si>
    <t xml:space="preserve">COV-51.1</t>
  </si>
  <si>
    <t xml:space="preserve">51.1 · Entreprise Z100 · 12 FO · avec route optique</t>
  </si>
  <si>
    <t xml:space="preserve">COV-51.2</t>
  </si>
  <si>
    <t xml:space="preserve">51.2 · Entreprise Z100 · 12 FO · sans route optique</t>
  </si>
  <si>
    <t xml:space="preserve">COV-52.1</t>
  </si>
  <si>
    <t xml:space="preserve">52.1 · Entreprise Z200 · 4 FO · avec route optique</t>
  </si>
  <si>
    <t xml:space="preserve">COV-52.2</t>
  </si>
  <si>
    <t xml:space="preserve">52.2 · Entreprise Z200 · 4 FO · sans route optique</t>
  </si>
  <si>
    <t xml:space="preserve">COV-53.1</t>
  </si>
  <si>
    <t xml:space="preserve">53.1 · Entreprise Z200 · 12 FO · avec route optique</t>
  </si>
  <si>
    <t xml:space="preserve">COV-53.2</t>
  </si>
  <si>
    <t xml:space="preserve">53.2 · Entreprise Z200 · 12 FO · sans route optique</t>
  </si>
  <si>
    <t xml:space="preserve">COV-55.1</t>
  </si>
  <si>
    <t xml:space="preserve">55.1 · Raccordement long / extension · câble 4 FO (au ml)</t>
  </si>
  <si>
    <t xml:space="preserve">ml</t>
  </si>
  <si>
    <t xml:space="preserve">COV-55.2</t>
  </si>
  <si>
    <t xml:space="preserve">55.2 · Extension du réseau · câble 12 FO (au ml)</t>
  </si>
  <si>
    <t xml:space="preserve">COV-55.3</t>
  </si>
  <si>
    <t xml:space="preserve">55.3 · Extension du réseau · câble 24 FO (au ml)</t>
  </si>
  <si>
    <t xml:space="preserve">COV-55.4</t>
  </si>
  <si>
    <t xml:space="preserve">55.4 · Extension du réseau · câble 36 FO (au ml)</t>
  </si>
  <si>
    <t xml:space="preserve">COV-55.5</t>
  </si>
  <si>
    <t xml:space="preserve">55.5 · Extension du réseau · plus-value câble 48 FO (au ml)</t>
  </si>
  <si>
    <t xml:space="preserve">COV-55.6</t>
  </si>
  <si>
    <t xml:space="preserve">55.6 · Extension du réseau · plus-value câble 72 FO (au ml)</t>
  </si>
  <si>
    <t xml:space="preserve">COV-55.7</t>
  </si>
  <si>
    <t xml:space="preserve">55.7 · Extension du réseau · plus-value câble 96 FO (au ml)</t>
  </si>
  <si>
    <t xml:space="preserve">COV-55.8</t>
  </si>
  <si>
    <t xml:space="preserve">55.8 · Extension du réseau · plus-value câble 144 FO (au ml)</t>
  </si>
  <si>
    <t xml:space="preserve">COV-55.9</t>
  </si>
  <si>
    <t xml:space="preserve">55.9 · Extension du réseau · plus-value câble 192 FO (au ml)</t>
  </si>
  <si>
    <t xml:space="preserve">COV-55.10</t>
  </si>
  <si>
    <t xml:space="preserve">55.10 · Extension du réseau · plus-value câble 288 FO (au ml)</t>
  </si>
  <si>
    <t xml:space="preserve">COV-55.11</t>
  </si>
  <si>
    <t xml:space="preserve">55.11 · Extension du réseau · plus-value câble 432 FO (au ml)</t>
  </si>
  <si>
    <t xml:space="preserve">COV-55.12</t>
  </si>
  <si>
    <t xml:space="preserve">55.12 · Extension du réseau · plus-value câble 576 FO (au ml)</t>
  </si>
  <si>
    <t xml:space="preserve">COV-55.13</t>
  </si>
  <si>
    <t xml:space="preserve">55.13 · Extension du réseau · plus-value câble 720 FO (au ml)</t>
  </si>
  <si>
    <t xml:space="preserve">COV-56.1</t>
  </si>
  <si>
    <t xml:space="preserve">56.1 · Entreprise upgrade (intervention physique)</t>
  </si>
  <si>
    <t xml:space="preserve">COV-56.2</t>
  </si>
  <si>
    <t xml:space="preserve">56.2 · Changement et mise en service de CPE</t>
  </si>
  <si>
    <t xml:space="preserve">COV-56.3</t>
  </si>
  <si>
    <t xml:space="preserve">56.3 · Installation équipement client opérateur (forfait 2 h)</t>
  </si>
  <si>
    <t xml:space="preserve">COV-56.4</t>
  </si>
  <si>
    <t xml:space="preserve">56.4 · Heure au-delà des 2 h</t>
  </si>
  <si>
    <t xml:space="preserve">COV-57.1</t>
  </si>
  <si>
    <t xml:space="preserve">57.1 · Résiliation entreprise (récupération CPE)</t>
  </si>
  <si>
    <t xml:space="preserve">COV-58.1</t>
  </si>
  <si>
    <t xml:space="preserve">58.1 · Intervention sur BPE non identifiée</t>
  </si>
  <si>
    <t xml:space="preserve">U</t>
  </si>
  <si>
    <t xml:space="preserve">COV-58.2</t>
  </si>
  <si>
    <t xml:space="preserve">58.2 · Intervention sur BPE identifiée (supplémentaire)</t>
  </si>
  <si>
    <t xml:space="preserve">COV-59.1</t>
  </si>
  <si>
    <t xml:space="preserve">59.1 · Raccordement FTTE (aérien / souterrain / façade / palier)</t>
  </si>
  <si>
    <t xml:space="preserve">COV-59.2</t>
  </si>
  <si>
    <t xml:space="preserve">59.2 · Majoration hotline · base NetGeo incohérente</t>
  </si>
  <si>
    <t xml:space="preserve">COV-59.3</t>
  </si>
  <si>
    <t xml:space="preserve">59.3 · Fourniture jarretière sécurisée</t>
  </si>
  <si>
    <t xml:space="preserve">COV-60.1</t>
  </si>
  <si>
    <t xml:space="preserve">60.1 · FTTH Pro · raccordement immeuble (création PTO)</t>
  </si>
  <si>
    <t xml:space="preserve">Forfait (logistique incluse)</t>
  </si>
  <si>
    <t xml:space="preserve">COV-60.2</t>
  </si>
  <si>
    <t xml:space="preserve">60.2 · FTTH Pro · raccordement chambre / poteau / façade</t>
  </si>
  <si>
    <t xml:space="preserve">COV-60.3</t>
  </si>
  <si>
    <t xml:space="preserve">60.3 · FTTH Pro · option linéaire supplémentaire (60.1 / 60.2)</t>
  </si>
  <si>
    <t xml:space="preserve">COV-60.4</t>
  </si>
  <si>
    <t xml:space="preserve">60.4 · FTTH Pro · raccordement PTO existante</t>
  </si>
  <si>
    <t xml:space="preserve">COV-60.5</t>
  </si>
  <si>
    <t xml:space="preserve">60.5 · FTTH Pro · déplacement PTO existante</t>
  </si>
  <si>
    <t xml:space="preserve">COV-60.6</t>
  </si>
  <si>
    <t xml:space="preserve">60.6 · FTTH Pro · pose / synchro ONT</t>
  </si>
  <si>
    <t xml:space="preserve">COV-60.7</t>
  </si>
  <si>
    <t xml:space="preserve">60.7 · FTTH Pro · option branchement CPE avec ONT</t>
  </si>
  <si>
    <t xml:space="preserve">COV-60.8</t>
  </si>
  <si>
    <t xml:space="preserve">60.8 · Mise en service FTTE sur lien existant (réseau tiers)</t>
  </si>
  <si>
    <t xml:space="preserve">COV-61.1</t>
  </si>
  <si>
    <t xml:space="preserve">61.1 · Visite technique FTTH Pro · cas simple</t>
  </si>
  <si>
    <t xml:space="preserve">COV-61.2</t>
  </si>
  <si>
    <t xml:space="preserve">61.2 · Visite technique FTTH Pro · cas complexe (aiguillage)</t>
  </si>
  <si>
    <t xml:space="preserve">COV-61.3</t>
  </si>
  <si>
    <t xml:space="preserve">61.3 · Visite technique · option aiguillage</t>
  </si>
  <si>
    <t xml:space="preserve">COV-61.4</t>
  </si>
  <si>
    <t xml:space="preserve">61.4 · Forfait RDV à heure précise</t>
  </si>
  <si>
    <t xml:space="preserve">COV-62.1</t>
  </si>
  <si>
    <t xml:space="preserve">62.1 · Câble supplémentaire, fourniture + pose (au ml)</t>
  </si>
  <si>
    <t xml:space="preserve">COV-62.2</t>
  </si>
  <si>
    <t xml:space="preserve">62.2 · Goulotte, fourniture + pose (au ml)</t>
  </si>
  <si>
    <t xml:space="preserve">COV-62.3</t>
  </si>
  <si>
    <t xml:space="preserve">62.3 · Percement spécifique (traversée d'étage, carottage)</t>
  </si>
  <si>
    <t xml:space="preserve">COV-62.4</t>
  </si>
  <si>
    <t xml:space="preserve">62.4 · Travaux en hauteur intérieur (élévateur)</t>
  </si>
  <si>
    <t xml:space="preserve">COV-62.5</t>
  </si>
  <si>
    <t xml:space="preserve">62.5 · Hydrocurage de fourreaux</t>
  </si>
  <si>
    <t xml:space="preserve">COV-62.6</t>
  </si>
  <si>
    <t xml:space="preserve">62.6 · Armement de poteau (réhausse / traverse)</t>
  </si>
  <si>
    <t xml:space="preserve">COV-62.7</t>
  </si>
  <si>
    <t xml:space="preserve">62.7 · Réparation de fourreaux en domaine public</t>
  </si>
  <si>
    <t xml:space="preserve">COV-62.8</t>
  </si>
  <si>
    <t xml:space="preserve">62.8 · Décroutage et réhausse de chambre</t>
  </si>
  <si>
    <t xml:space="preserve">COV-62.9</t>
  </si>
  <si>
    <t xml:space="preserve">62.9 · Déplacement PTO existante (câble insuffisant)</t>
  </si>
  <si>
    <t xml:space="preserve">COV-62.10</t>
  </si>
  <si>
    <t xml:space="preserve">62.10 · Pompage de chambre</t>
  </si>
  <si>
    <t xml:space="preserve">COV-63.1</t>
  </si>
  <si>
    <t xml:space="preserve">63.1 · Intervention HNO (technicien supplémentaire, 1 h)</t>
  </si>
  <si>
    <t xml:space="preserve">COV-63.2</t>
  </si>
  <si>
    <t xml:space="preserve">63.2 · Intervention HO (technicien supplémentaire, 1 h)</t>
  </si>
  <si>
    <t xml:space="preserve">Optique</t>
  </si>
  <si>
    <t xml:space="preserve">COV-11.1</t>
  </si>
  <si>
    <t xml:space="preserve">11.1 · Câble 4 FO en conduite, fourniture + pose (au ml)</t>
  </si>
  <si>
    <t xml:space="preserve">COV-11.2</t>
  </si>
  <si>
    <t xml:space="preserve">11.2 · Câble 12 FO en conduite, fourniture + pose (au ml)</t>
  </si>
  <si>
    <t xml:space="preserve">COV-11.3</t>
  </si>
  <si>
    <t xml:space="preserve">11.3 · Câble 24 FO en conduite, fourniture + pose (au ml)</t>
  </si>
  <si>
    <t xml:space="preserve">COV-11.4</t>
  </si>
  <si>
    <t xml:space="preserve">11.4 · Tirage de câble jusqu'à 288 FO (au ml)</t>
  </si>
  <si>
    <t xml:space="preserve">COV-11.5</t>
  </si>
  <si>
    <t xml:space="preserve">11.5 · Tirage de câble de plus de 288 FO (au ml)</t>
  </si>
  <si>
    <t xml:space="preserve">COV-11.6</t>
  </si>
  <si>
    <t xml:space="preserve">11.6 · Portage de câble (au ml)</t>
  </si>
  <si>
    <t xml:space="preserve">COV-11.7</t>
  </si>
  <si>
    <t xml:space="preserve">11.7 · Pose de câble aérien (pinces d'ancrage / cablette)</t>
  </si>
  <si>
    <t xml:space="preserve">COV-11.8</t>
  </si>
  <si>
    <t xml:space="preserve">11.8 · Pose de câble en façade (nacelle)</t>
  </si>
  <si>
    <t xml:space="preserve">COV-11.9</t>
  </si>
  <si>
    <t xml:space="preserve">11.9 · Aiguillage de conduite existante (études)</t>
  </si>
  <si>
    <t xml:space="preserve">COV-11.10</t>
  </si>
  <si>
    <t xml:space="preserve">11.10 · Dépose de câble (au ml)</t>
  </si>
  <si>
    <t xml:space="preserve">COV-11.11</t>
  </si>
  <si>
    <t xml:space="preserve">11.11 · Débouchage de fourreaux par hydrocurage</t>
  </si>
  <si>
    <t xml:space="preserve">COV-11.12</t>
  </si>
  <si>
    <t xml:space="preserve">11.12 · Pompage de chambre</t>
  </si>
  <si>
    <t xml:space="preserve">COV-11.13</t>
  </si>
  <si>
    <t xml:space="preserve">COV-11.14</t>
  </si>
  <si>
    <t xml:space="preserve">11.14 · Abattage / élagage d'arbres et haies (au m³)</t>
  </si>
  <si>
    <t xml:space="preserve">m³</t>
  </si>
  <si>
    <t xml:space="preserve">COV-12.1</t>
  </si>
  <si>
    <t xml:space="preserve">12.1 · Chemin de câble cablofil 50×50 sur équerre (au ml)</t>
  </si>
  <si>
    <t xml:space="preserve">COV-12.2</t>
  </si>
  <si>
    <t xml:space="preserve">12.2 · Gaine fendue (au ml)</t>
  </si>
  <si>
    <t xml:space="preserve">COV-12.3</t>
  </si>
  <si>
    <t xml:space="preserve">12.3 · Gaine métallique MSB (au ml)</t>
  </si>
  <si>
    <t xml:space="preserve">COV-12.4</t>
  </si>
  <si>
    <t xml:space="preserve">12.4 · Goulotte plastique 40×40 (au ml)</t>
  </si>
  <si>
    <t xml:space="preserve">COV-12.5</t>
  </si>
  <si>
    <t xml:space="preserve">COV-12.6</t>
  </si>
  <si>
    <t xml:space="preserve">12.6 · Carottage de mur béton armé</t>
  </si>
  <si>
    <t xml:space="preserve">COV-12.7</t>
  </si>
  <si>
    <t xml:space="preserve">12.7 · Tirage de câble sur chemin de câble existant (au ml)</t>
  </si>
  <si>
    <t xml:space="preserve">COV-12.8</t>
  </si>
  <si>
    <t xml:space="preserve">12.8 · Tirage de câble sous tube IRO (au ml)</t>
  </si>
  <si>
    <t xml:space="preserve">COV-12.9</t>
  </si>
  <si>
    <t xml:space="preserve">12.9 · Désamiantage de la zone de percement (devis)</t>
  </si>
  <si>
    <t xml:space="preserve">m²</t>
  </si>
  <si>
    <t xml:space="preserve">COV-12.10</t>
  </si>
  <si>
    <t xml:space="preserve">12.10 · Travaux en hauteur &gt; 3,50 m (au ml)</t>
  </si>
  <si>
    <t xml:space="preserve">COV-12.11</t>
  </si>
  <si>
    <t xml:space="preserve">12.11 · Location de nacelle (par jour)</t>
  </si>
  <si>
    <t xml:space="preserve">jour</t>
  </si>
  <si>
    <t xml:space="preserve">COV-12.12</t>
  </si>
  <si>
    <t xml:space="preserve">12.12 · Câble en immeuble 4 FO (au ml)</t>
  </si>
  <si>
    <t xml:space="preserve">COV-12.13</t>
  </si>
  <si>
    <t xml:space="preserve">12.13 · Câble en immeuble 12 FO (au ml)</t>
  </si>
  <si>
    <t xml:space="preserve">COV-12.14</t>
  </si>
  <si>
    <t xml:space="preserve">12.14 · Câble en immeuble 24 FO (au ml)</t>
  </si>
  <si>
    <t xml:space="preserve">COV-12.15</t>
  </si>
  <si>
    <t xml:space="preserve">12.15 · Rocade optique en datacenter (devis)</t>
  </si>
  <si>
    <t xml:space="preserve">COV-14.1</t>
  </si>
  <si>
    <t xml:space="preserve">14.1 · Joint droit · 864 FO</t>
  </si>
  <si>
    <t xml:space="preserve">COV-14.2</t>
  </si>
  <si>
    <t xml:space="preserve">14.2 · Joint droit · 720 FO</t>
  </si>
  <si>
    <t xml:space="preserve">COV-14.3</t>
  </si>
  <si>
    <t xml:space="preserve">14.3 · Joint droit · 576 FO</t>
  </si>
  <si>
    <t xml:space="preserve">COV-14.4</t>
  </si>
  <si>
    <t xml:space="preserve">14.4 · Joint droit · 432 FO</t>
  </si>
  <si>
    <t xml:space="preserve">COV-14.5</t>
  </si>
  <si>
    <t xml:space="preserve">14.5 · Joint droit · 288 FO</t>
  </si>
  <si>
    <t xml:space="preserve">COV-14.6</t>
  </si>
  <si>
    <t xml:space="preserve">14.6 · Joint droit · 192 FO</t>
  </si>
  <si>
    <t xml:space="preserve">COV-14.7</t>
  </si>
  <si>
    <t xml:space="preserve">14.7 · Joint droit · 144 FO</t>
  </si>
  <si>
    <t xml:space="preserve">COV-14.8</t>
  </si>
  <si>
    <t xml:space="preserve">14.8 · Joint droit · 96 FO</t>
  </si>
  <si>
    <t xml:space="preserve">COV-14.9</t>
  </si>
  <si>
    <t xml:space="preserve">14.9 · Joint droit · 72 FO</t>
  </si>
  <si>
    <t xml:space="preserve">COV-14.10</t>
  </si>
  <si>
    <t xml:space="preserve">14.10 · Joint droit · 48 FO</t>
  </si>
  <si>
    <t xml:space="preserve">COV-14.11</t>
  </si>
  <si>
    <t xml:space="preserve">14.11 · Joint droit · 36 FO</t>
  </si>
  <si>
    <t xml:space="preserve">COV-14.12</t>
  </si>
  <si>
    <t xml:space="preserve">14.12 · Joint droit · 24 FO</t>
  </si>
  <si>
    <t xml:space="preserve">COV-14.13</t>
  </si>
  <si>
    <t xml:space="preserve">14.13 · Joint droit · 12 FO</t>
  </si>
  <si>
    <t xml:space="preserve">COV-14.14</t>
  </si>
  <si>
    <t xml:space="preserve">14.14 · Joint droit · 2 à 6 FO</t>
  </si>
  <si>
    <t xml:space="preserve">COV-15.1</t>
  </si>
  <si>
    <t xml:space="preserve">15.1 · Joint blanc (lovage) · 864 FO</t>
  </si>
  <si>
    <t xml:space="preserve">COV-15.2</t>
  </si>
  <si>
    <t xml:space="preserve">15.2 · Joint blanc (lovage) · 720 FO</t>
  </si>
  <si>
    <t xml:space="preserve">COV-15.3</t>
  </si>
  <si>
    <t xml:space="preserve">15.3 · Joint blanc (lovage) · 576 FO</t>
  </si>
  <si>
    <t xml:space="preserve">COV-15.4</t>
  </si>
  <si>
    <t xml:space="preserve">15.4 · Joint blanc (lovage) · 432 FO</t>
  </si>
  <si>
    <t xml:space="preserve">COV-15.5</t>
  </si>
  <si>
    <t xml:space="preserve">15.5 · Joint blanc (lovage) · 288 FO</t>
  </si>
  <si>
    <t xml:space="preserve">COV-15.6</t>
  </si>
  <si>
    <t xml:space="preserve">15.6 · Joint blanc (lovage) · 192 FO</t>
  </si>
  <si>
    <t xml:space="preserve">COV-15.7</t>
  </si>
  <si>
    <t xml:space="preserve">15.7 · Joint blanc (lovage) · 144 FO</t>
  </si>
  <si>
    <t xml:space="preserve">COV-15.8</t>
  </si>
  <si>
    <t xml:space="preserve">15.8 · Joint blanc (lovage) · 96 FO</t>
  </si>
  <si>
    <t xml:space="preserve">COV-15.9</t>
  </si>
  <si>
    <t xml:space="preserve">15.9 · Joint blanc (lovage) · 72 FO</t>
  </si>
  <si>
    <t xml:space="preserve">COV-15.10</t>
  </si>
  <si>
    <t xml:space="preserve">15.10 · Joint blanc (lovage) · 48 FO</t>
  </si>
  <si>
    <t xml:space="preserve">COV-15.11</t>
  </si>
  <si>
    <t xml:space="preserve">15.11 · Joint blanc (lovage) · 36 FO</t>
  </si>
  <si>
    <t xml:space="preserve">COV-15.12</t>
  </si>
  <si>
    <t xml:space="preserve">15.12 · Joint blanc (lovage) · 24 FO</t>
  </si>
  <si>
    <t xml:space="preserve">COV-15.13</t>
  </si>
  <si>
    <t xml:space="preserve">15.13 · Joint blanc (lovage) · 12 FO</t>
  </si>
  <si>
    <t xml:space="preserve">COV-15.14</t>
  </si>
  <si>
    <t xml:space="preserve">15.14 · Joint blanc (lovage) · soudure supplémentaire (à la fibre)</t>
  </si>
  <si>
    <t xml:space="preserve">Fibre</t>
  </si>
  <si>
    <t xml:space="preserve">COV-16.1</t>
  </si>
  <si>
    <t xml:space="preserve">16.1 · Joint blanc (tubes) · 864 FO</t>
  </si>
  <si>
    <t xml:space="preserve">COV-16.2</t>
  </si>
  <si>
    <t xml:space="preserve">16.2 · Joint blanc (tubes) · 720 FO</t>
  </si>
  <si>
    <t xml:space="preserve">COV-16.3</t>
  </si>
  <si>
    <t xml:space="preserve">16.3 · Joint blanc (tubes) · 576 FO</t>
  </si>
  <si>
    <t xml:space="preserve">COV-16.4</t>
  </si>
  <si>
    <t xml:space="preserve">16.4 · Joint blanc (tubes) · 432 FO</t>
  </si>
  <si>
    <t xml:space="preserve">COV-16.5</t>
  </si>
  <si>
    <t xml:space="preserve">16.5 · Joint blanc (tubes) · 288 FO</t>
  </si>
  <si>
    <t xml:space="preserve">COV-16.6</t>
  </si>
  <si>
    <t xml:space="preserve">16.6 · Joint blanc (tubes) · 192 FO</t>
  </si>
  <si>
    <t xml:space="preserve">COV-16.7</t>
  </si>
  <si>
    <t xml:space="preserve">16.7 · Joint blanc (tubes) · 144 FO</t>
  </si>
  <si>
    <t xml:space="preserve">COV-16.8</t>
  </si>
  <si>
    <t xml:space="preserve">16.8 · Joint blanc (tubes) · 96 FO</t>
  </si>
  <si>
    <t xml:space="preserve">COV-16.9</t>
  </si>
  <si>
    <t xml:space="preserve">16.9 · Joint blanc (tubes) · 72 FO</t>
  </si>
  <si>
    <t xml:space="preserve">COV-16.10</t>
  </si>
  <si>
    <t xml:space="preserve">16.10 · Joint blanc (tubes) · 48 FO</t>
  </si>
  <si>
    <t xml:space="preserve">COV-16.11</t>
  </si>
  <si>
    <t xml:space="preserve">16.11 · Joint blanc (tubes) · 36 FO</t>
  </si>
  <si>
    <t xml:space="preserve">COV-16.12</t>
  </si>
  <si>
    <t xml:space="preserve">16.12 · Joint blanc (tubes) · 24 FO</t>
  </si>
  <si>
    <t xml:space="preserve">COV-16.13</t>
  </si>
  <si>
    <t xml:space="preserve">16.13 · Joint blanc (tubes) · 12 FO</t>
  </si>
  <si>
    <t xml:space="preserve">COV-16.14</t>
  </si>
  <si>
    <t xml:space="preserve">16.14 · Joint blanc (tubes) · soudure supplémentaire (à la fibre)</t>
  </si>
  <si>
    <t xml:space="preserve">COV-17.1</t>
  </si>
  <si>
    <t xml:space="preserve">17.1 · Rentrée + soudures dans boîte existante (2 à 12 FO)</t>
  </si>
  <si>
    <t xml:space="preserve">COV-17.2</t>
  </si>
  <si>
    <t xml:space="preserve">17.2 · Soudure supplémentaire (rentrée dans boîte existante)</t>
  </si>
  <si>
    <t xml:space="preserve">COV-17.3</t>
  </si>
  <si>
    <t xml:space="preserve">17.3 · Rentrée de câble + soudures (création de la boîte)</t>
  </si>
  <si>
    <t xml:space="preserve">COV-17.4</t>
  </si>
  <si>
    <t xml:space="preserve">17.4 · Soudure supplémentaire (rentrée à la création)</t>
  </si>
  <si>
    <t xml:space="preserve">COV-17.5</t>
  </si>
  <si>
    <t xml:space="preserve">17.5 · Piquage de 2 fibres dans BPE existante</t>
  </si>
  <si>
    <t xml:space="preserve">COV-17.6</t>
  </si>
  <si>
    <t xml:space="preserve">17.6 · Soudure supplémentaire (piquage)</t>
  </si>
  <si>
    <t xml:space="preserve">COV-17.7</t>
  </si>
  <si>
    <t xml:space="preserve">COV-18.1</t>
  </si>
  <si>
    <t xml:space="preserve">18.1 · Audit et récolement BPE complet jusqu'à 72 FO</t>
  </si>
  <si>
    <t xml:space="preserve">COV-18.2</t>
  </si>
  <si>
    <t xml:space="preserve">18.2 · Audit et récolement BPE complet jusqu'à 144 FO</t>
  </si>
  <si>
    <t xml:space="preserve">COV-18.3</t>
  </si>
  <si>
    <t xml:space="preserve">18.3 · Audit et récolement BPE complet jusqu'à 288 FO</t>
  </si>
  <si>
    <t xml:space="preserve">COV-18.4</t>
  </si>
  <si>
    <t xml:space="preserve">18.4 · Audit et récolement BPE complet jusqu'à 432 FO</t>
  </si>
  <si>
    <t xml:space="preserve">COV-18.5</t>
  </si>
  <si>
    <t xml:space="preserve">18.5 · Audit et récolement BPE complet jusqu'à 720 FO</t>
  </si>
  <si>
    <t xml:space="preserve">COV-18.6</t>
  </si>
  <si>
    <t xml:space="preserve">18.6 · Audit et récolement BPE complet jusqu'à 864 FO</t>
  </si>
  <si>
    <t xml:space="preserve">COV-18.7</t>
  </si>
  <si>
    <t xml:space="preserve">COV-19.1</t>
  </si>
  <si>
    <t xml:space="preserve">19.1 · Raccordement de tête de câble · 144 FO</t>
  </si>
  <si>
    <t xml:space="preserve">COV-19.2</t>
  </si>
  <si>
    <t xml:space="preserve">19.2 · Raccordement de tête de câble · 96 FO</t>
  </si>
  <si>
    <t xml:space="preserve">COV-19.3</t>
  </si>
  <si>
    <t xml:space="preserve">19.3 · Raccordement de tête de câble · 72 FO</t>
  </si>
  <si>
    <t xml:space="preserve">COV-19.4</t>
  </si>
  <si>
    <t xml:space="preserve">19.4 · Raccordement de tête de câble · 48 FO</t>
  </si>
  <si>
    <t xml:space="preserve">COV-19.5</t>
  </si>
  <si>
    <t xml:space="preserve">19.5 · Raccordement de tête de câble · 36 FO</t>
  </si>
  <si>
    <t xml:space="preserve">COV-19.6</t>
  </si>
  <si>
    <t xml:space="preserve">19.6 · Raccordement de tête de câble · 24 FO</t>
  </si>
  <si>
    <t xml:space="preserve">COV-19.7</t>
  </si>
  <si>
    <t xml:space="preserve">19.7 · Raccordement de tête de câble · 12 FO</t>
  </si>
  <si>
    <t xml:space="preserve">COV-19.8</t>
  </si>
  <si>
    <t xml:space="preserve">19.8 · Raccordement de tête de câble · 6 FO</t>
  </si>
  <si>
    <t xml:space="preserve">COV-19.9</t>
  </si>
  <si>
    <t xml:space="preserve">19.9 · Raccordement de tête de câble · 4 FO</t>
  </si>
  <si>
    <t xml:space="preserve">COV-19.10</t>
  </si>
  <si>
    <t xml:space="preserve">19.10 · Raccordement de tête de câble · 2 FO</t>
  </si>
  <si>
    <t xml:space="preserve">COV-20.1</t>
  </si>
  <si>
    <t xml:space="preserve">COV-20.2</t>
  </si>
  <si>
    <t xml:space="preserve">20.2 · Mesure de liaison BPE à BPE · câble 48 FO</t>
  </si>
  <si>
    <t xml:space="preserve">COV-20.3</t>
  </si>
  <si>
    <t xml:space="preserve">20.3 · Mesure de liaison BPE à BPE · câble 72 FO</t>
  </si>
  <si>
    <t xml:space="preserve">COV-20.4</t>
  </si>
  <si>
    <t xml:space="preserve">20.4 · Mesure de liaison BPE à BPE · câble 144 FO</t>
  </si>
  <si>
    <t xml:space="preserve">COV-20.5</t>
  </si>
  <si>
    <t xml:space="preserve">COV-20.6</t>
  </si>
  <si>
    <t xml:space="preserve">20.6 · Installation du tiroir (sans soudure)</t>
  </si>
  <si>
    <t xml:space="preserve">COV-20.7</t>
  </si>
  <si>
    <t xml:space="preserve">20.7 · Installation tiroir + CPE, mise sous tension</t>
  </si>
  <si>
    <t xml:space="preserve">COV-20.8</t>
  </si>
  <si>
    <t xml:space="preserve">20.8 · Installation baie informatique 6U</t>
  </si>
  <si>
    <t xml:space="preserve">COV-20.9</t>
  </si>
  <si>
    <t xml:space="preserve">20.9 · Installation départ électrique</t>
  </si>
  <si>
    <t xml:space="preserve">COV-20.10</t>
  </si>
  <si>
    <t xml:space="preserve">20.10 · Installation de coupleur</t>
  </si>
  <si>
    <t xml:space="preserve">COV-20.11</t>
  </si>
  <si>
    <t xml:space="preserve">20.11 · Pose d'un breakout</t>
  </si>
  <si>
    <t xml:space="preserve">COV-20.12</t>
  </si>
  <si>
    <t xml:space="preserve">20.12 · Pose d'un breakout supplémentaire</t>
  </si>
  <si>
    <t xml:space="preserve">COV-20.13</t>
  </si>
  <si>
    <t xml:space="preserve">20.13 · Jarretière SC/APC · 1 à 5 m (fourniture + pose)</t>
  </si>
  <si>
    <t xml:space="preserve">COV-20.14</t>
  </si>
  <si>
    <t xml:space="preserve">20.14 · Jarretière SC/APC · 6 à 15 m (fourniture + pose)</t>
  </si>
  <si>
    <t xml:space="preserve">COV-20.15</t>
  </si>
  <si>
    <t xml:space="preserve">20.15 · Jarretière LC/PC · 1 à 5 m (fourniture + pose)</t>
  </si>
  <si>
    <t xml:space="preserve">COV-20.16</t>
  </si>
  <si>
    <t xml:space="preserve">20.16 · Jarretière LC/PC · 6 à 15 m (fourniture + pose)</t>
  </si>
  <si>
    <t xml:space="preserve">COV-20.17</t>
  </si>
  <si>
    <t xml:space="preserve">20.17 · Jarretière supplémentaire (plus-value 1)</t>
  </si>
  <si>
    <t xml:space="preserve">COV-20.18</t>
  </si>
  <si>
    <t xml:space="preserve">20.18 · Jarretière supplémentaire (plus-value 2)</t>
  </si>
  <si>
    <t xml:space="preserve">COV-20.19</t>
  </si>
  <si>
    <t xml:space="preserve">20.19 · Remplacement tiroir + fibre dégroupage PM</t>
  </si>
  <si>
    <t xml:space="preserve">COV-21.1</t>
  </si>
  <si>
    <t xml:space="preserve">21.1 · Armoire de rue · dalle, fourreaux et Ch0</t>
  </si>
  <si>
    <t xml:space="preserve">COV-21.2</t>
  </si>
  <si>
    <t xml:space="preserve">21.2 · Armoire de rue · pose armoire 28U + socle béton</t>
  </si>
  <si>
    <t xml:space="preserve">COV-21.3</t>
  </si>
  <si>
    <t xml:space="preserve">21.3 · Armoire de rue · pose armoire 40U + socle béton</t>
  </si>
  <si>
    <t xml:space="preserve">COV-21.4</t>
  </si>
  <si>
    <t xml:space="preserve">21.4 · Armoire de rue · raccordement réseau souterrain (au ml)</t>
  </si>
  <si>
    <t xml:space="preserve">COV-21.5</t>
  </si>
  <si>
    <t xml:space="preserve">21.5 · Armoire de rue · raccordement électrique Enedis</t>
  </si>
  <si>
    <t xml:space="preserve">COV-21.6</t>
  </si>
  <si>
    <t xml:space="preserve">21.6 · Armoire de rue · réfection PM</t>
  </si>
  <si>
    <t xml:space="preserve">COV-22.1</t>
  </si>
  <si>
    <t xml:space="preserve">22.1 · NRO · implantation (GC de proximité + Ch0)</t>
  </si>
  <si>
    <t xml:space="preserve">COV-22.2</t>
  </si>
  <si>
    <t xml:space="preserve">22.2 · NRO · raccordement réseau souterrain (au ml)</t>
  </si>
  <si>
    <t xml:space="preserve">COV-22.3</t>
  </si>
  <si>
    <t xml:space="preserve">22.3 · NRO · plateforme shelter + clôture + portillon</t>
  </si>
  <si>
    <t xml:space="preserve">COV-22.4</t>
  </si>
  <si>
    <t xml:space="preserve">22.4 · NRO · raccordement électrique Enedis</t>
  </si>
  <si>
    <t xml:space="preserve">COV-22.5</t>
  </si>
  <si>
    <t xml:space="preserve">22.5 · NRO · installation baie 46U avec mise à la terre</t>
  </si>
  <si>
    <t xml:space="preserve">COV-23.1</t>
  </si>
  <si>
    <t xml:space="preserve">23.1 · PM 800 shelter · implantation (GC de proximité + Ch0)</t>
  </si>
  <si>
    <t xml:space="preserve">COV-23.2</t>
  </si>
  <si>
    <t xml:space="preserve">23.2 · PM 800 shelter · raccordement Orange (au ml)</t>
  </si>
  <si>
    <t xml:space="preserve">COV-23.3</t>
  </si>
  <si>
    <t xml:space="preserve">23.3 · PM 800 shelter · plateforme mini shelter + clôture</t>
  </si>
  <si>
    <t xml:space="preserve">Études</t>
  </si>
  <si>
    <t xml:space="preserve">COV-ETU-1.1</t>
  </si>
  <si>
    <t xml:space="preserve">Étude 1.1 · Forfait APS</t>
  </si>
  <si>
    <t xml:space="preserve">COV-ETU-2.1</t>
  </si>
  <si>
    <t xml:space="preserve">Étude 2.1 · APD GC</t>
  </si>
  <si>
    <t xml:space="preserve">COV-ETU-2.2</t>
  </si>
  <si>
    <t xml:space="preserve">Étude 2.2 · APD + DOE · linéaire cumulé ≤ 15 ml</t>
  </si>
  <si>
    <t xml:space="preserve">COV-ETU-2.3</t>
  </si>
  <si>
    <t xml:space="preserve">Étude 2.3 · APD + DOE · linéaire cumulé ≤ 150 ml</t>
  </si>
  <si>
    <t xml:space="preserve">COV-ETU-2.4</t>
  </si>
  <si>
    <t xml:space="preserve">COV-ETU-2.5</t>
  </si>
  <si>
    <t xml:space="preserve">ml (tout le linéaire)</t>
  </si>
  <si>
    <t xml:space="preserve">COV-ETU-3.1</t>
  </si>
  <si>
    <t xml:space="preserve">Étude 3.1 · Commande BLO souterrain</t>
  </si>
  <si>
    <t xml:space="preserve">COV-ETU-3.2</t>
  </si>
  <si>
    <t xml:space="preserve">Étude 3.2 · Commande BLO complexe (≥ 2 communes ou &gt; 100 CH)</t>
  </si>
  <si>
    <t xml:space="preserve">COV-ETU-4.1</t>
  </si>
  <si>
    <t xml:space="preserve">Étude 4.1 · Commande BLO / Enedis aérien</t>
  </si>
  <si>
    <t xml:space="preserve">COV-ETU-4.2</t>
  </si>
  <si>
    <t xml:space="preserve">Étude 4.2 · Commande BLO / Enedis aérien complexe</t>
  </si>
  <si>
    <t xml:space="preserve">COV-ETU-5.1</t>
  </si>
  <si>
    <t xml:space="preserve">COV-ETU-6.1</t>
  </si>
  <si>
    <t xml:space="preserve">Étude 6.1 · Maintenance préventive d'une chambre Orange</t>
  </si>
  <si>
    <t xml:space="preserve">COV-ETU-6.2</t>
  </si>
  <si>
    <t xml:space="preserve">Étude 6.2 · Maintenance préventive d'une chambre COVAGE</t>
  </si>
  <si>
    <t xml:space="preserve">COV-ETU-6.3</t>
  </si>
  <si>
    <t xml:space="preserve">COV-ETU-7.1</t>
  </si>
  <si>
    <t xml:space="preserve">Étude 7.1 · Étude immeuble APD light</t>
  </si>
  <si>
    <t xml:space="preserve">COV-ETU-7.2</t>
  </si>
  <si>
    <t xml:space="preserve">Étude 7.2 · Supplément étude immeuble</t>
  </si>
  <si>
    <t xml:space="preserve">COV-ETU-8.1</t>
  </si>
  <si>
    <t xml:space="preserve">Étude 8.1 · DOE</t>
  </si>
  <si>
    <t xml:space="preserve">COV-ETU-8.2</t>
  </si>
  <si>
    <t xml:space="preserve">Étude 8.2 · DOE GC</t>
  </si>
  <si>
    <t xml:space="preserve">COV-ETU-8.3</t>
  </si>
  <si>
    <t xml:space="preserve">Étude 8.3 · DOE livrable GraceTHD V3</t>
  </si>
  <si>
    <t xml:space="preserve">COV-ETU-8.4</t>
  </si>
  <si>
    <t xml:space="preserve">Étude 8.4 · DOE site immeuble</t>
  </si>
  <si>
    <t xml:space="preserve">COV-ETU-8.5</t>
  </si>
  <si>
    <t xml:space="preserve">Étude 8.5 · DOE optique · intégration SIG (BPE supplémentaire)</t>
  </si>
  <si>
    <t xml:space="preserve">COV-ETU-9.1</t>
  </si>
  <si>
    <t xml:space="preserve">Étude 9.1 · Mise à jour des plans GC</t>
  </si>
  <si>
    <t xml:space="preserve">EXEMPLE : DEUX JOURNÉES COMPARÉES AVEC LES POINTS</t>
  </si>
  <si>
    <t xml:space="preserve">Change les codes (colonne B) et les quantités (colonne D) pour tester. Les points se calculent avec le barème.</t>
  </si>
  <si>
    <t xml:space="preserve">Technicien</t>
  </si>
  <si>
    <t xml:space="preserve">Quantité</t>
  </si>
  <si>
    <t xml:space="preserve">Technicien A</t>
  </si>
  <si>
    <t xml:space="preserve">Technicien B</t>
  </si>
  <si>
    <t xml:space="preserve">Résultat de la journée</t>
  </si>
  <si>
    <t xml:space="preserve">Points de la journée</t>
  </si>
  <si>
    <t xml:space="preserve">Points attendus</t>
  </si>
  <si>
    <t xml:space="preserve">Taux</t>
  </si>
  <si>
    <t xml:space="preserve">A a fait 3 tickets COVAGE, bien payés. B a fait 3 malfaçons, mal payées mais longues (dont 2 en hauteur). En euros, A rapporte plus de deux fois plus que B et passerait pour le meilleur.</t>
  </si>
  <si>
    <t xml:space="preserve">Avec les points, B a en réalité travaillé plus longtemps que A : chacun est jugé sur son temps de travail, pas sur le tarif du client.</t>
  </si>
  <si>
    <t xml:space="preserve">Lignes 8 à 10 libres : ajoute un technicien, un code BPU et une quantité pour tester d'autres journées.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</si>
</sst>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0%"/>
    <numFmt numFmtId="168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s">
        <v>8</v>
      </c>
    </row>
    <row r="14" customFormat="false" ht="15" hidden="false" customHeight="false" outlineLevel="0" collapsed="false">
      <c r="A14" s="4" t="s">
        <v>9</v>
      </c>
    </row>
    <row r="15" customFormat="false" ht="15" hidden="false" customHeight="false" outlineLevel="0" collapsed="false">
      <c r="A15" s="2" t="s">
        <v>10</v>
      </c>
      <c r="B15" s="5" t="n">
        <v>15</v>
      </c>
      <c r="C15" s="6" t="s">
        <v>11</v>
      </c>
    </row>
    <row r="16" customFormat="false" ht="15" hidden="false" customHeight="false" outlineLevel="0" collapsed="false">
      <c r="A16" s="2" t="s">
        <v>12</v>
      </c>
      <c r="B16" s="7" t="n">
        <v>7</v>
      </c>
      <c r="C16" s="6" t="s">
        <v>13</v>
      </c>
    </row>
    <row r="17" customFormat="false" ht="15" hidden="false" customHeight="false" outlineLevel="0" collapsed="false">
      <c r="A17" s="2" t="s">
        <v>14</v>
      </c>
      <c r="B17" s="8" t="n">
        <f aca="false">HeuresJour*60/MinParPoint</f>
        <v>28</v>
      </c>
      <c r="C17" s="6" t="s">
        <v>15</v>
      </c>
    </row>
    <row r="18" customFormat="false" ht="15" hidden="false" customHeight="false" outlineLevel="0" collapsed="false">
      <c r="A18" s="2" t="s">
        <v>16</v>
      </c>
      <c r="B18" s="9" t="n">
        <v>0.25</v>
      </c>
      <c r="C18" s="6" t="s">
        <v>17</v>
      </c>
    </row>
    <row r="19" customFormat="false" ht="15" hidden="false" customHeight="false" outlineLevel="0" collapsed="false">
      <c r="A19" s="2" t="s">
        <v>18</v>
      </c>
      <c r="B19" s="9" t="n">
        <v>0.5</v>
      </c>
      <c r="C19" s="6" t="s">
        <v>19</v>
      </c>
    </row>
    <row r="21" customFormat="false" ht="15" hidden="false" customHeight="false" outlineLevel="0" collapsed="false">
      <c r="A21" s="4" t="s">
        <v>20</v>
      </c>
    </row>
    <row r="22" customFormat="false" ht="15" hidden="false" customHeight="false" outlineLevel="0" collapsed="false">
      <c r="A22" s="2" t="s">
        <v>21</v>
      </c>
    </row>
    <row r="23" customFormat="false" ht="15" hidden="false" customHeight="false" outlineLevel="0" collapsed="false">
      <c r="A23" s="2" t="s">
        <v>22</v>
      </c>
    </row>
    <row r="24" customFormat="false" ht="15" hidden="false" customHeight="false" outlineLevel="0" collapsed="false">
      <c r="A24" s="2" t="s">
        <v>23</v>
      </c>
    </row>
    <row r="25" customFormat="false" ht="15" hidden="false" customHeight="false" outlineLevel="0" collapsed="false">
      <c r="A25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6" t="s">
        <v>26</v>
      </c>
    </row>
    <row r="4" customFormat="false" ht="23.85" hidden="false" customHeight="false" outlineLevel="0" collapsed="false">
      <c r="A4" s="10" t="s">
        <v>27</v>
      </c>
      <c r="B4" s="10" t="s">
        <v>28</v>
      </c>
      <c r="C4" s="10" t="s">
        <v>29</v>
      </c>
      <c r="D4" s="10" t="s">
        <v>30</v>
      </c>
      <c r="E4" s="10" t="s">
        <v>31</v>
      </c>
      <c r="F4" s="10" t="s">
        <v>32</v>
      </c>
      <c r="G4" s="10" t="s">
        <v>33</v>
      </c>
    </row>
    <row r="5" customFormat="false" ht="15" hidden="false" customHeight="false" outlineLevel="0" collapsed="false">
      <c r="A5" s="11" t="s">
        <v>34</v>
      </c>
      <c r="B5" s="12" t="s">
        <v>35</v>
      </c>
      <c r="C5" s="12" t="s">
        <v>36</v>
      </c>
      <c r="D5" s="13" t="n">
        <v>120</v>
      </c>
      <c r="E5" s="14" t="n">
        <f aca="false">D5/MinParPoint</f>
        <v>8</v>
      </c>
      <c r="F5" s="12" t="n">
        <f aca="false">COUNTIF(Prestations!$F$5:$F$256,A5)</f>
        <v>5</v>
      </c>
      <c r="G5" s="12" t="s">
        <v>37</v>
      </c>
    </row>
    <row r="6" customFormat="false" ht="15" hidden="false" customHeight="false" outlineLevel="0" collapsed="false">
      <c r="A6" s="11" t="s">
        <v>38</v>
      </c>
      <c r="B6" s="12" t="s">
        <v>35</v>
      </c>
      <c r="C6" s="12" t="s">
        <v>38</v>
      </c>
      <c r="D6" s="13" t="n">
        <v>150</v>
      </c>
      <c r="E6" s="14" t="n">
        <f aca="false">D6/MinParPoint</f>
        <v>10</v>
      </c>
      <c r="F6" s="12" t="n">
        <f aca="false">COUNTIF(Prestations!$F$5:$F$256,A6)</f>
        <v>2</v>
      </c>
      <c r="G6" s="12" t="s">
        <v>39</v>
      </c>
    </row>
    <row r="7" customFormat="false" ht="15" hidden="false" customHeight="false" outlineLevel="0" collapsed="false">
      <c r="A7" s="11" t="s">
        <v>40</v>
      </c>
      <c r="B7" s="12" t="s">
        <v>35</v>
      </c>
      <c r="C7" s="12" t="s">
        <v>40</v>
      </c>
      <c r="D7" s="13" t="n">
        <v>90</v>
      </c>
      <c r="E7" s="14" t="n">
        <f aca="false">D7/MinParPoint</f>
        <v>6</v>
      </c>
      <c r="F7" s="12" t="n">
        <f aca="false">COUNTIF(Prestations!$F$5:$F$256,A7)</f>
        <v>2</v>
      </c>
      <c r="G7" s="12" t="s">
        <v>41</v>
      </c>
    </row>
    <row r="8" customFormat="false" ht="35.05" hidden="false" customHeight="false" outlineLevel="0" collapsed="false">
      <c r="A8" s="11" t="s">
        <v>42</v>
      </c>
      <c r="B8" s="12" t="s">
        <v>43</v>
      </c>
      <c r="C8" s="12" t="s">
        <v>44</v>
      </c>
      <c r="D8" s="13" t="n">
        <v>60</v>
      </c>
      <c r="E8" s="14" t="n">
        <f aca="false">D8/MinParPoint</f>
        <v>4</v>
      </c>
      <c r="F8" s="12" t="n">
        <f aca="false">COUNTIF(Prestations!$F$5:$F$256,A8)</f>
        <v>8</v>
      </c>
      <c r="G8" s="12" t="s">
        <v>45</v>
      </c>
    </row>
    <row r="9" customFormat="false" ht="35.05" hidden="false" customHeight="false" outlineLevel="0" collapsed="false">
      <c r="A9" s="11" t="s">
        <v>46</v>
      </c>
      <c r="B9" s="12" t="s">
        <v>47</v>
      </c>
      <c r="C9" s="12" t="s">
        <v>48</v>
      </c>
      <c r="D9" s="13" t="n">
        <v>180</v>
      </c>
      <c r="E9" s="14" t="n">
        <f aca="false">D9/MinParPoint</f>
        <v>12</v>
      </c>
      <c r="F9" s="12" t="n">
        <f aca="false">COUNTIF(Prestations!$F$5:$F$256,A9)</f>
        <v>4</v>
      </c>
      <c r="G9" s="12" t="s">
        <v>49</v>
      </c>
    </row>
    <row r="10" customFormat="false" ht="46.25" hidden="false" customHeight="false" outlineLevel="0" collapsed="false">
      <c r="A10" s="11" t="s">
        <v>50</v>
      </c>
      <c r="B10" s="12" t="s">
        <v>47</v>
      </c>
      <c r="C10" s="12" t="s">
        <v>51</v>
      </c>
      <c r="D10" s="13" t="n">
        <v>240</v>
      </c>
      <c r="E10" s="14" t="n">
        <f aca="false">D10/MinParPoint</f>
        <v>16</v>
      </c>
      <c r="F10" s="12" t="n">
        <f aca="false">COUNTIF(Prestations!$F$5:$F$256,A10)</f>
        <v>4</v>
      </c>
      <c r="G10" s="12"/>
    </row>
    <row r="11" customFormat="false" ht="35.05" hidden="false" customHeight="false" outlineLevel="0" collapsed="false">
      <c r="A11" s="11" t="s">
        <v>52</v>
      </c>
      <c r="B11" s="12" t="s">
        <v>47</v>
      </c>
      <c r="C11" s="12" t="s">
        <v>53</v>
      </c>
      <c r="D11" s="13" t="n">
        <v>360</v>
      </c>
      <c r="E11" s="14" t="n">
        <f aca="false">D11/MinParPoint</f>
        <v>24</v>
      </c>
      <c r="F11" s="12" t="n">
        <f aca="false">COUNTIF(Prestations!$F$5:$F$256,A11)</f>
        <v>4</v>
      </c>
      <c r="G11" s="12" t="s">
        <v>54</v>
      </c>
    </row>
    <row r="12" customFormat="false" ht="15" hidden="false" customHeight="false" outlineLevel="0" collapsed="false">
      <c r="A12" s="11" t="s">
        <v>55</v>
      </c>
      <c r="B12" s="12" t="s">
        <v>47</v>
      </c>
      <c r="C12" s="12" t="s">
        <v>56</v>
      </c>
      <c r="D12" s="13" t="n">
        <v>90</v>
      </c>
      <c r="E12" s="14" t="n">
        <f aca="false">D12/MinParPoint</f>
        <v>6</v>
      </c>
      <c r="F12" s="12" t="n">
        <f aca="false">COUNTIF(Prestations!$F$5:$F$256,A12)</f>
        <v>2</v>
      </c>
      <c r="G12" s="12"/>
    </row>
    <row r="13" customFormat="false" ht="15" hidden="false" customHeight="false" outlineLevel="0" collapsed="false">
      <c r="A13" s="11" t="s">
        <v>57</v>
      </c>
      <c r="B13" s="12" t="s">
        <v>47</v>
      </c>
      <c r="C13" s="12" t="s">
        <v>58</v>
      </c>
      <c r="D13" s="13" t="n">
        <v>180</v>
      </c>
      <c r="E13" s="14" t="n">
        <f aca="false">D13/MinParPoint</f>
        <v>12</v>
      </c>
      <c r="F13" s="12" t="n">
        <f aca="false">COUNTIF(Prestations!$F$5:$F$256,A13)</f>
        <v>2</v>
      </c>
      <c r="G13" s="12" t="s">
        <v>59</v>
      </c>
    </row>
    <row r="14" customFormat="false" ht="15" hidden="false" customHeight="false" outlineLevel="0" collapsed="false">
      <c r="A14" s="11" t="s">
        <v>60</v>
      </c>
      <c r="B14" s="12" t="s">
        <v>47</v>
      </c>
      <c r="C14" s="12" t="s">
        <v>61</v>
      </c>
      <c r="D14" s="13" t="n">
        <v>300</v>
      </c>
      <c r="E14" s="14" t="n">
        <f aca="false">D14/MinParPoint</f>
        <v>20</v>
      </c>
      <c r="F14" s="12" t="n">
        <f aca="false">COUNTIF(Prestations!$F$5:$F$256,A14)</f>
        <v>2</v>
      </c>
      <c r="G14" s="12" t="s">
        <v>62</v>
      </c>
    </row>
    <row r="15" customFormat="false" ht="23.85" hidden="false" customHeight="false" outlineLevel="0" collapsed="false">
      <c r="A15" s="11" t="s">
        <v>63</v>
      </c>
      <c r="B15" s="12" t="s">
        <v>64</v>
      </c>
      <c r="C15" s="12" t="s">
        <v>65</v>
      </c>
      <c r="D15" s="13" t="n">
        <v>360</v>
      </c>
      <c r="E15" s="14" t="n">
        <f aca="false">D15/MinParPoint</f>
        <v>24</v>
      </c>
      <c r="F15" s="12" t="n">
        <f aca="false">COUNTIF(Prestations!$F$5:$F$256,A15)</f>
        <v>7</v>
      </c>
      <c r="G15" s="12" t="s">
        <v>66</v>
      </c>
    </row>
    <row r="16" customFormat="false" ht="23.85" hidden="false" customHeight="false" outlineLevel="0" collapsed="false">
      <c r="A16" s="11" t="s">
        <v>67</v>
      </c>
      <c r="B16" s="12" t="s">
        <v>64</v>
      </c>
      <c r="C16" s="12" t="s">
        <v>68</v>
      </c>
      <c r="D16" s="13" t="n">
        <v>600</v>
      </c>
      <c r="E16" s="14" t="n">
        <f aca="false">D16/MinParPoint</f>
        <v>40</v>
      </c>
      <c r="F16" s="12" t="n">
        <f aca="false">COUNTIF(Prestations!$F$5:$F$256,A16)</f>
        <v>14</v>
      </c>
      <c r="G16" s="12" t="s">
        <v>69</v>
      </c>
    </row>
    <row r="17" customFormat="false" ht="35.05" hidden="false" customHeight="false" outlineLevel="0" collapsed="false">
      <c r="A17" s="11" t="s">
        <v>70</v>
      </c>
      <c r="B17" s="12" t="s">
        <v>64</v>
      </c>
      <c r="C17" s="12" t="s">
        <v>71</v>
      </c>
      <c r="D17" s="13" t="n">
        <v>180</v>
      </c>
      <c r="E17" s="14" t="n">
        <f aca="false">D17/MinParPoint</f>
        <v>12</v>
      </c>
      <c r="F17" s="12" t="n">
        <f aca="false">COUNTIF(Prestations!$F$5:$F$256,A17)</f>
        <v>5</v>
      </c>
      <c r="G17" s="12" t="s">
        <v>72</v>
      </c>
    </row>
    <row r="18" customFormat="false" ht="35.05" hidden="false" customHeight="false" outlineLevel="0" collapsed="false">
      <c r="A18" s="11" t="s">
        <v>73</v>
      </c>
      <c r="B18" s="12" t="s">
        <v>47</v>
      </c>
      <c r="C18" s="12" t="s">
        <v>74</v>
      </c>
      <c r="D18" s="13" t="n">
        <v>60</v>
      </c>
      <c r="E18" s="14" t="n">
        <f aca="false">D18/MinParPoint</f>
        <v>4</v>
      </c>
      <c r="F18" s="12" t="n">
        <f aca="false">COUNTIF(Prestations!$F$5:$F$256,A18)</f>
        <v>7</v>
      </c>
      <c r="G18" s="12" t="s">
        <v>75</v>
      </c>
    </row>
    <row r="19" customFormat="false" ht="23.85" hidden="false" customHeight="false" outlineLevel="0" collapsed="false">
      <c r="A19" s="11" t="s">
        <v>76</v>
      </c>
      <c r="B19" s="12" t="s">
        <v>47</v>
      </c>
      <c r="C19" s="12" t="s">
        <v>77</v>
      </c>
      <c r="D19" s="13" t="n">
        <v>120</v>
      </c>
      <c r="E19" s="14" t="n">
        <f aca="false">D19/MinParPoint</f>
        <v>8</v>
      </c>
      <c r="F19" s="12" t="n">
        <f aca="false">COUNTIF(Prestations!$F$5:$F$256,A19)</f>
        <v>2</v>
      </c>
      <c r="G19" s="12" t="s">
        <v>78</v>
      </c>
    </row>
    <row r="20" customFormat="false" ht="35.05" hidden="false" customHeight="false" outlineLevel="0" collapsed="false">
      <c r="A20" s="11" t="s">
        <v>79</v>
      </c>
      <c r="B20" s="12" t="s">
        <v>80</v>
      </c>
      <c r="C20" s="12" t="s">
        <v>81</v>
      </c>
      <c r="D20" s="13" t="n">
        <v>90</v>
      </c>
      <c r="E20" s="14" t="n">
        <f aca="false">D20/MinParPoint</f>
        <v>6</v>
      </c>
      <c r="F20" s="12" t="n">
        <f aca="false">COUNTIF(Prestations!$F$5:$F$256,A20)</f>
        <v>3</v>
      </c>
      <c r="G20" s="12" t="s">
        <v>82</v>
      </c>
    </row>
    <row r="21" customFormat="false" ht="35.05" hidden="false" customHeight="false" outlineLevel="0" collapsed="false">
      <c r="A21" s="11" t="s">
        <v>83</v>
      </c>
      <c r="B21" s="12" t="s">
        <v>84</v>
      </c>
      <c r="C21" s="12" t="s">
        <v>85</v>
      </c>
      <c r="D21" s="13" t="n">
        <v>1</v>
      </c>
      <c r="E21" s="14" t="n">
        <f aca="false">D21/MinParPoint</f>
        <v>0.0666666666666667</v>
      </c>
      <c r="F21" s="12" t="n">
        <f aca="false">COUNTIF(Prestations!$F$5:$F$256,A21)</f>
        <v>20</v>
      </c>
      <c r="G21" s="12" t="s">
        <v>86</v>
      </c>
    </row>
    <row r="22" customFormat="false" ht="23.85" hidden="false" customHeight="false" outlineLevel="0" collapsed="false">
      <c r="A22" s="11" t="s">
        <v>87</v>
      </c>
      <c r="B22" s="12" t="s">
        <v>84</v>
      </c>
      <c r="C22" s="12" t="s">
        <v>88</v>
      </c>
      <c r="D22" s="13" t="n">
        <v>0.5</v>
      </c>
      <c r="E22" s="14" t="n">
        <f aca="false">D22/MinParPoint</f>
        <v>0.0333333333333333</v>
      </c>
      <c r="F22" s="12" t="n">
        <f aca="false">COUNTIF(Prestations!$F$5:$F$256,A22)</f>
        <v>3</v>
      </c>
      <c r="G22" s="12"/>
    </row>
    <row r="23" customFormat="false" ht="23.85" hidden="false" customHeight="false" outlineLevel="0" collapsed="false">
      <c r="A23" s="11" t="s">
        <v>89</v>
      </c>
      <c r="B23" s="12" t="s">
        <v>84</v>
      </c>
      <c r="C23" s="12" t="s">
        <v>90</v>
      </c>
      <c r="D23" s="13" t="n">
        <v>5</v>
      </c>
      <c r="E23" s="14" t="n">
        <f aca="false">D23/MinParPoint</f>
        <v>0.333333333333333</v>
      </c>
      <c r="F23" s="12" t="n">
        <f aca="false">COUNTIF(Prestations!$F$5:$F$256,A23)</f>
        <v>6</v>
      </c>
      <c r="G23" s="12" t="s">
        <v>91</v>
      </c>
    </row>
    <row r="24" customFormat="false" ht="15" hidden="false" customHeight="false" outlineLevel="0" collapsed="false">
      <c r="A24" s="11" t="s">
        <v>92</v>
      </c>
      <c r="B24" s="12" t="s">
        <v>93</v>
      </c>
      <c r="C24" s="12" t="s">
        <v>94</v>
      </c>
      <c r="D24" s="13" t="n">
        <v>30</v>
      </c>
      <c r="E24" s="14" t="n">
        <f aca="false">D24/MinParPoint</f>
        <v>2</v>
      </c>
      <c r="F24" s="12" t="n">
        <f aca="false">COUNTIF(Prestations!$F$5:$F$256,A24)</f>
        <v>1</v>
      </c>
      <c r="G24" s="12" t="s">
        <v>95</v>
      </c>
    </row>
    <row r="25" customFormat="false" ht="23.85" hidden="false" customHeight="false" outlineLevel="0" collapsed="false">
      <c r="A25" s="11" t="s">
        <v>96</v>
      </c>
      <c r="B25" s="12" t="s">
        <v>93</v>
      </c>
      <c r="C25" s="12" t="s">
        <v>97</v>
      </c>
      <c r="D25" s="13" t="n">
        <v>90</v>
      </c>
      <c r="E25" s="14" t="n">
        <f aca="false">D25/MinParPoint</f>
        <v>6</v>
      </c>
      <c r="F25" s="12" t="n">
        <f aca="false">COUNTIF(Prestations!$F$5:$F$256,A25)</f>
        <v>2</v>
      </c>
      <c r="G25" s="12" t="s">
        <v>98</v>
      </c>
    </row>
    <row r="26" customFormat="false" ht="35.05" hidden="false" customHeight="false" outlineLevel="0" collapsed="false">
      <c r="A26" s="11" t="s">
        <v>99</v>
      </c>
      <c r="B26" s="12" t="s">
        <v>100</v>
      </c>
      <c r="C26" s="12" t="s">
        <v>101</v>
      </c>
      <c r="D26" s="13" t="n">
        <v>3</v>
      </c>
      <c r="E26" s="14" t="n">
        <f aca="false">D26/MinParPoint</f>
        <v>0.2</v>
      </c>
      <c r="F26" s="12" t="n">
        <f aca="false">COUNTIF(Prestations!$F$5:$F$256,A26)</f>
        <v>5</v>
      </c>
      <c r="G26" s="12" t="s">
        <v>102</v>
      </c>
    </row>
    <row r="27" customFormat="false" ht="23.85" hidden="false" customHeight="false" outlineLevel="0" collapsed="false">
      <c r="A27" s="11" t="s">
        <v>103</v>
      </c>
      <c r="B27" s="12" t="s">
        <v>104</v>
      </c>
      <c r="C27" s="12" t="s">
        <v>105</v>
      </c>
      <c r="D27" s="13" t="n">
        <v>120</v>
      </c>
      <c r="E27" s="14" t="n">
        <f aca="false">D27/MinParPoint</f>
        <v>8</v>
      </c>
      <c r="F27" s="12" t="n">
        <f aca="false">COUNTIF(Prestations!$F$5:$F$256,A27)</f>
        <v>13</v>
      </c>
      <c r="G27" s="12" t="s">
        <v>106</v>
      </c>
    </row>
    <row r="28" customFormat="false" ht="23.85" hidden="false" customHeight="false" outlineLevel="0" collapsed="false">
      <c r="A28" s="11" t="s">
        <v>107</v>
      </c>
      <c r="B28" s="12" t="s">
        <v>104</v>
      </c>
      <c r="C28" s="12" t="s">
        <v>108</v>
      </c>
      <c r="D28" s="13" t="n">
        <v>240</v>
      </c>
      <c r="E28" s="14" t="n">
        <f aca="false">D28/MinParPoint</f>
        <v>16</v>
      </c>
      <c r="F28" s="12" t="n">
        <f aca="false">COUNTIF(Prestations!$F$5:$F$256,A28)</f>
        <v>9</v>
      </c>
      <c r="G28" s="12"/>
    </row>
    <row r="29" customFormat="false" ht="23.85" hidden="false" customHeight="false" outlineLevel="0" collapsed="false">
      <c r="A29" s="11" t="s">
        <v>109</v>
      </c>
      <c r="B29" s="12" t="s">
        <v>104</v>
      </c>
      <c r="C29" s="12" t="s">
        <v>110</v>
      </c>
      <c r="D29" s="13" t="n">
        <v>360</v>
      </c>
      <c r="E29" s="14" t="n">
        <f aca="false">D29/MinParPoint</f>
        <v>24</v>
      </c>
      <c r="F29" s="12" t="n">
        <f aca="false">COUNTIF(Prestations!$F$5:$F$256,A29)</f>
        <v>6</v>
      </c>
      <c r="G29" s="12"/>
    </row>
    <row r="30" customFormat="false" ht="23.85" hidden="false" customHeight="false" outlineLevel="0" collapsed="false">
      <c r="A30" s="11" t="s">
        <v>111</v>
      </c>
      <c r="B30" s="12" t="s">
        <v>104</v>
      </c>
      <c r="C30" s="12" t="s">
        <v>112</v>
      </c>
      <c r="D30" s="13" t="n">
        <v>600</v>
      </c>
      <c r="E30" s="14" t="n">
        <f aca="false">D30/MinParPoint</f>
        <v>40</v>
      </c>
      <c r="F30" s="12" t="n">
        <f aca="false">COUNTIF(Prestations!$F$5:$F$256,A30)</f>
        <v>12</v>
      </c>
      <c r="G30" s="12" t="s">
        <v>113</v>
      </c>
    </row>
    <row r="31" customFormat="false" ht="35.05" hidden="false" customHeight="false" outlineLevel="0" collapsed="false">
      <c r="A31" s="11" t="s">
        <v>114</v>
      </c>
      <c r="B31" s="12" t="s">
        <v>47</v>
      </c>
      <c r="C31" s="12" t="s">
        <v>115</v>
      </c>
      <c r="D31" s="13" t="n">
        <v>120</v>
      </c>
      <c r="E31" s="14" t="n">
        <f aca="false">D31/MinParPoint</f>
        <v>8</v>
      </c>
      <c r="F31" s="12" t="n">
        <f aca="false">COUNTIF(Prestations!$F$5:$F$256,A31)</f>
        <v>5</v>
      </c>
      <c r="G31" s="12" t="s">
        <v>116</v>
      </c>
    </row>
    <row r="32" customFormat="false" ht="15" hidden="false" customHeight="false" outlineLevel="0" collapsed="false">
      <c r="A32" s="11" t="s">
        <v>117</v>
      </c>
      <c r="B32" s="12" t="s">
        <v>104</v>
      </c>
      <c r="C32" s="12" t="s">
        <v>118</v>
      </c>
      <c r="D32" s="13" t="n">
        <v>30</v>
      </c>
      <c r="E32" s="14" t="n">
        <f aca="false">D32/MinParPoint</f>
        <v>2</v>
      </c>
      <c r="F32" s="12" t="n">
        <f aca="false">COUNTIF(Prestations!$F$5:$F$256,A32)</f>
        <v>1</v>
      </c>
      <c r="G32" s="12"/>
    </row>
    <row r="33" customFormat="false" ht="35.05" hidden="false" customHeight="false" outlineLevel="0" collapsed="false">
      <c r="A33" s="11" t="s">
        <v>119</v>
      </c>
      <c r="B33" s="12" t="s">
        <v>104</v>
      </c>
      <c r="C33" s="12" t="s">
        <v>120</v>
      </c>
      <c r="D33" s="13" t="n">
        <v>90</v>
      </c>
      <c r="E33" s="14" t="n">
        <f aca="false">D33/MinParPoint</f>
        <v>6</v>
      </c>
      <c r="F33" s="12" t="n">
        <f aca="false">COUNTIF(Prestations!$F$5:$F$256,A33)</f>
        <v>3</v>
      </c>
      <c r="G33" s="12"/>
    </row>
    <row r="34" customFormat="false" ht="35.05" hidden="false" customHeight="false" outlineLevel="0" collapsed="false">
      <c r="A34" s="11" t="s">
        <v>121</v>
      </c>
      <c r="B34" s="12" t="s">
        <v>104</v>
      </c>
      <c r="C34" s="12" t="s">
        <v>122</v>
      </c>
      <c r="D34" s="13" t="n">
        <v>150</v>
      </c>
      <c r="E34" s="14" t="n">
        <f aca="false">D34/MinParPoint</f>
        <v>10</v>
      </c>
      <c r="F34" s="12" t="n">
        <f aca="false">COUNTIF(Prestations!$F$5:$F$256,A34)</f>
        <v>3</v>
      </c>
      <c r="G34" s="12"/>
    </row>
    <row r="35" customFormat="false" ht="15" hidden="false" customHeight="false" outlineLevel="0" collapsed="false">
      <c r="A35" s="11" t="s">
        <v>123</v>
      </c>
      <c r="B35" s="12" t="s">
        <v>104</v>
      </c>
      <c r="C35" s="12" t="s">
        <v>124</v>
      </c>
      <c r="D35" s="13" t="n">
        <v>45</v>
      </c>
      <c r="E35" s="14" t="n">
        <f aca="false">D35/MinParPoint</f>
        <v>3</v>
      </c>
      <c r="F35" s="12" t="n">
        <f aca="false">COUNTIF(Prestations!$F$5:$F$256,A35)</f>
        <v>1</v>
      </c>
      <c r="G35" s="12"/>
    </row>
    <row r="36" customFormat="false" ht="23.85" hidden="false" customHeight="false" outlineLevel="0" collapsed="false">
      <c r="A36" s="11" t="s">
        <v>125</v>
      </c>
      <c r="B36" s="12" t="s">
        <v>126</v>
      </c>
      <c r="C36" s="12" t="s">
        <v>127</v>
      </c>
      <c r="D36" s="13" t="n">
        <v>120</v>
      </c>
      <c r="E36" s="14" t="n">
        <f aca="false">D36/MinParPoint</f>
        <v>8</v>
      </c>
      <c r="F36" s="12" t="n">
        <f aca="false">COUNTIF(Prestations!$F$5:$F$256,A36)</f>
        <v>5</v>
      </c>
      <c r="G36" s="12"/>
    </row>
    <row r="37" customFormat="false" ht="23.85" hidden="false" customHeight="false" outlineLevel="0" collapsed="false">
      <c r="A37" s="11" t="s">
        <v>128</v>
      </c>
      <c r="B37" s="12" t="s">
        <v>126</v>
      </c>
      <c r="C37" s="12" t="s">
        <v>129</v>
      </c>
      <c r="D37" s="13" t="n">
        <v>240</v>
      </c>
      <c r="E37" s="14" t="n">
        <f aca="false">D37/MinParPoint</f>
        <v>16</v>
      </c>
      <c r="F37" s="12" t="n">
        <f aca="false">COUNTIF(Prestations!$F$5:$F$256,A37)</f>
        <v>3</v>
      </c>
      <c r="G37" s="12"/>
    </row>
    <row r="38" customFormat="false" ht="23.85" hidden="false" customHeight="false" outlineLevel="0" collapsed="false">
      <c r="A38" s="11" t="s">
        <v>130</v>
      </c>
      <c r="B38" s="12" t="s">
        <v>126</v>
      </c>
      <c r="C38" s="12" t="s">
        <v>131</v>
      </c>
      <c r="D38" s="13" t="n">
        <v>360</v>
      </c>
      <c r="E38" s="14" t="n">
        <f aca="false">D38/MinParPoint</f>
        <v>24</v>
      </c>
      <c r="F38" s="12" t="n">
        <f aca="false">COUNTIF(Prestations!$F$5:$F$256,A38)</f>
        <v>2</v>
      </c>
      <c r="G38" s="12"/>
    </row>
    <row r="39" customFormat="false" ht="15" hidden="false" customHeight="false" outlineLevel="0" collapsed="false">
      <c r="A39" s="11" t="s">
        <v>132</v>
      </c>
      <c r="B39" s="12" t="s">
        <v>133</v>
      </c>
      <c r="C39" s="12" t="s">
        <v>134</v>
      </c>
      <c r="D39" s="13" t="n">
        <v>90</v>
      </c>
      <c r="E39" s="14" t="n">
        <f aca="false">D39/MinParPoint</f>
        <v>6</v>
      </c>
      <c r="F39" s="12" t="n">
        <f aca="false">COUNTIF(Prestations!$F$5:$F$256,A39)</f>
        <v>1</v>
      </c>
      <c r="G39" s="12" t="s">
        <v>135</v>
      </c>
    </row>
    <row r="40" customFormat="false" ht="35.05" hidden="false" customHeight="false" outlineLevel="0" collapsed="false">
      <c r="A40" s="11" t="s">
        <v>136</v>
      </c>
      <c r="B40" s="12" t="s">
        <v>133</v>
      </c>
      <c r="C40" s="12" t="s">
        <v>137</v>
      </c>
      <c r="D40" s="13" t="n">
        <v>360</v>
      </c>
      <c r="E40" s="14" t="n">
        <f aca="false">D40/MinParPoint</f>
        <v>24</v>
      </c>
      <c r="F40" s="12" t="n">
        <f aca="false">COUNTIF(Prestations!$F$5:$F$256,A40)</f>
        <v>3</v>
      </c>
      <c r="G40" s="12" t="s">
        <v>138</v>
      </c>
    </row>
    <row r="41" customFormat="false" ht="15" hidden="false" customHeight="false" outlineLevel="0" collapsed="false">
      <c r="A41" s="11" t="s">
        <v>139</v>
      </c>
      <c r="B41" s="12" t="s">
        <v>100</v>
      </c>
      <c r="C41" s="12" t="s">
        <v>140</v>
      </c>
      <c r="D41" s="13" t="n">
        <v>30</v>
      </c>
      <c r="E41" s="14" t="n">
        <f aca="false">D41/MinParPoint</f>
        <v>2</v>
      </c>
      <c r="F41" s="12" t="n">
        <f aca="false">COUNTIF(Prestations!$F$5:$F$256,A41)</f>
        <v>1</v>
      </c>
      <c r="G41" s="12"/>
    </row>
    <row r="42" customFormat="false" ht="23.85" hidden="false" customHeight="false" outlineLevel="0" collapsed="false">
      <c r="A42" s="11" t="s">
        <v>141</v>
      </c>
      <c r="B42" s="12" t="s">
        <v>142</v>
      </c>
      <c r="C42" s="12" t="s">
        <v>143</v>
      </c>
      <c r="D42" s="13" t="n">
        <v>15</v>
      </c>
      <c r="E42" s="14" t="n">
        <f aca="false">D42/MinParPoint</f>
        <v>1</v>
      </c>
      <c r="F42" s="12" t="n">
        <f aca="false">COUNTIF(Prestations!$F$5:$F$256,A42)</f>
        <v>10</v>
      </c>
      <c r="G42" s="12"/>
    </row>
    <row r="43" customFormat="false" ht="23.85" hidden="false" customHeight="false" outlineLevel="0" collapsed="false">
      <c r="A43" s="11" t="s">
        <v>144</v>
      </c>
      <c r="B43" s="12" t="s">
        <v>142</v>
      </c>
      <c r="C43" s="12" t="s">
        <v>145</v>
      </c>
      <c r="D43" s="13" t="n">
        <v>180</v>
      </c>
      <c r="E43" s="14" t="n">
        <f aca="false">D43/MinParPoint</f>
        <v>12</v>
      </c>
      <c r="F43" s="12" t="n">
        <f aca="false">COUNTIF(Prestations!$F$5:$F$256,A43)</f>
        <v>4</v>
      </c>
      <c r="G43" s="12" t="s">
        <v>146</v>
      </c>
    </row>
    <row r="44" customFormat="false" ht="15" hidden="false" customHeight="false" outlineLevel="0" collapsed="false">
      <c r="A44" s="11" t="s">
        <v>147</v>
      </c>
      <c r="B44" s="12" t="s">
        <v>148</v>
      </c>
      <c r="C44" s="12" t="s">
        <v>149</v>
      </c>
      <c r="D44" s="13" t="n">
        <v>45</v>
      </c>
      <c r="E44" s="14" t="n">
        <f aca="false">D44/MinParPoint</f>
        <v>3</v>
      </c>
      <c r="F44" s="12" t="n">
        <f aca="false">COUNTIF(Prestations!$F$5:$F$256,A44)</f>
        <v>2</v>
      </c>
      <c r="G44" s="12"/>
    </row>
    <row r="45" customFormat="false" ht="15" hidden="false" customHeight="false" outlineLevel="0" collapsed="false">
      <c r="A45" s="11" t="s">
        <v>150</v>
      </c>
      <c r="B45" s="12" t="s">
        <v>148</v>
      </c>
      <c r="C45" s="12" t="s">
        <v>151</v>
      </c>
      <c r="D45" s="13" t="n">
        <v>90</v>
      </c>
      <c r="E45" s="14" t="n">
        <f aca="false">D45/MinParPoint</f>
        <v>6</v>
      </c>
      <c r="F45" s="12" t="n">
        <f aca="false">COUNTIF(Prestations!$F$5:$F$256,A45)</f>
        <v>1</v>
      </c>
      <c r="G45" s="12"/>
    </row>
    <row r="46" customFormat="false" ht="23.85" hidden="false" customHeight="false" outlineLevel="0" collapsed="false">
      <c r="A46" s="11" t="s">
        <v>152</v>
      </c>
      <c r="B46" s="12" t="s">
        <v>142</v>
      </c>
      <c r="C46" s="12" t="s">
        <v>153</v>
      </c>
      <c r="D46" s="13" t="n">
        <v>90</v>
      </c>
      <c r="E46" s="14" t="n">
        <f aca="false">D46/MinParPoint</f>
        <v>6</v>
      </c>
      <c r="F46" s="12" t="n">
        <f aca="false">COUNTIF(Prestations!$F$5:$F$256,A46)</f>
        <v>2</v>
      </c>
      <c r="G46" s="12" t="s">
        <v>154</v>
      </c>
    </row>
    <row r="47" customFormat="false" ht="23.85" hidden="false" customHeight="false" outlineLevel="0" collapsed="false">
      <c r="A47" s="11" t="s">
        <v>155</v>
      </c>
      <c r="B47" s="12" t="s">
        <v>142</v>
      </c>
      <c r="C47" s="12" t="s">
        <v>156</v>
      </c>
      <c r="D47" s="13" t="n">
        <v>480</v>
      </c>
      <c r="E47" s="14" t="n">
        <f aca="false">D47/MinParPoint</f>
        <v>32</v>
      </c>
      <c r="F47" s="12" t="n">
        <f aca="false">COUNTIF(Prestations!$F$5:$F$256,A47)</f>
        <v>15</v>
      </c>
      <c r="G47" s="12" t="s">
        <v>157</v>
      </c>
    </row>
    <row r="48" customFormat="false" ht="23.85" hidden="false" customHeight="false" outlineLevel="0" collapsed="false">
      <c r="A48" s="11" t="s">
        <v>158</v>
      </c>
      <c r="B48" s="12" t="s">
        <v>159</v>
      </c>
      <c r="C48" s="12" t="s">
        <v>160</v>
      </c>
      <c r="D48" s="13" t="n">
        <v>120</v>
      </c>
      <c r="E48" s="14" t="n">
        <f aca="false">D48/MinParPoint</f>
        <v>8</v>
      </c>
      <c r="F48" s="12" t="n">
        <f aca="false">COUNTIF(Prestations!$F$5:$F$256,A48)</f>
        <v>14</v>
      </c>
      <c r="G48" s="12" t="s">
        <v>161</v>
      </c>
    </row>
    <row r="49" customFormat="false" ht="35.05" hidden="false" customHeight="false" outlineLevel="0" collapsed="false">
      <c r="A49" s="11" t="s">
        <v>162</v>
      </c>
      <c r="B49" s="12" t="s">
        <v>159</v>
      </c>
      <c r="C49" s="12" t="s">
        <v>163</v>
      </c>
      <c r="D49" s="13" t="n">
        <v>300</v>
      </c>
      <c r="E49" s="14" t="n">
        <f aca="false">D49/MinParPoint</f>
        <v>20</v>
      </c>
      <c r="F49" s="12" t="n">
        <f aca="false">COUNTIF(Prestations!$F$5:$F$256,A49)</f>
        <v>4</v>
      </c>
      <c r="G49" s="12" t="s">
        <v>164</v>
      </c>
    </row>
    <row r="50" customFormat="false" ht="15" hidden="false" customHeight="false" outlineLevel="0" collapsed="false">
      <c r="A50" s="11" t="s">
        <v>165</v>
      </c>
      <c r="B50" s="12" t="s">
        <v>159</v>
      </c>
      <c r="C50" s="12" t="s">
        <v>166</v>
      </c>
      <c r="D50" s="13" t="n">
        <v>600</v>
      </c>
      <c r="E50" s="14" t="n">
        <f aca="false">D50/MinParPoint</f>
        <v>40</v>
      </c>
      <c r="F50" s="12" t="n">
        <f aca="false">COUNTIF(Prestations!$F$5:$F$256,A50)</f>
        <v>1</v>
      </c>
      <c r="G50" s="12" t="s">
        <v>167</v>
      </c>
    </row>
    <row r="51" customFormat="false" ht="15" hidden="false" customHeight="false" outlineLevel="0" collapsed="false">
      <c r="A51" s="11" t="s">
        <v>168</v>
      </c>
      <c r="B51" s="12" t="s">
        <v>84</v>
      </c>
      <c r="C51" s="12" t="s">
        <v>169</v>
      </c>
      <c r="D51" s="13" t="n">
        <v>0.5</v>
      </c>
      <c r="E51" s="14" t="n">
        <f aca="false">D51/MinParPoint</f>
        <v>0.0333333333333333</v>
      </c>
      <c r="F51" s="12" t="n">
        <f aca="false">COUNTIF(Prestations!$F$5:$F$256,A51)</f>
        <v>1</v>
      </c>
      <c r="G51" s="12" t="s">
        <v>170</v>
      </c>
    </row>
    <row r="52" customFormat="false" ht="15" hidden="false" customHeight="false" outlineLevel="0" collapsed="false">
      <c r="A52" s="11" t="s">
        <v>171</v>
      </c>
      <c r="B52" s="12" t="s">
        <v>142</v>
      </c>
      <c r="C52" s="12" t="s">
        <v>172</v>
      </c>
      <c r="D52" s="13" t="n">
        <v>210</v>
      </c>
      <c r="E52" s="14" t="n">
        <f aca="false">D52/MinParPoint</f>
        <v>14</v>
      </c>
      <c r="F52" s="12" t="n">
        <f aca="false">COUNTIF(Prestations!$F$5:$F$256,A52)</f>
        <v>1</v>
      </c>
      <c r="G52" s="12" t="s">
        <v>173</v>
      </c>
    </row>
    <row r="53" customFormat="false" ht="15" hidden="false" customHeight="false" outlineLevel="0" collapsed="false">
      <c r="A53" s="11" t="s">
        <v>174</v>
      </c>
      <c r="B53" s="12" t="s">
        <v>104</v>
      </c>
      <c r="C53" s="12" t="s">
        <v>175</v>
      </c>
      <c r="D53" s="13" t="n">
        <v>20</v>
      </c>
      <c r="E53" s="14" t="n">
        <f aca="false">D53/MinParPoint</f>
        <v>1.33333333333333</v>
      </c>
      <c r="F53" s="12" t="n">
        <f aca="false">COUNTIF(Prestations!$F$5:$F$256,A53)</f>
        <v>1</v>
      </c>
      <c r="G53" s="12" t="s">
        <v>176</v>
      </c>
    </row>
    <row r="54" customFormat="false" ht="35.05" hidden="false" customHeight="false" outlineLevel="0" collapsed="false">
      <c r="A54" s="11" t="s">
        <v>177</v>
      </c>
      <c r="B54" s="12" t="s">
        <v>178</v>
      </c>
      <c r="C54" s="12" t="s">
        <v>179</v>
      </c>
      <c r="D54" s="13" t="n">
        <v>0</v>
      </c>
      <c r="E54" s="14" t="n">
        <f aca="false">D54/MinParPoint</f>
        <v>0</v>
      </c>
      <c r="F54" s="12" t="n">
        <f aca="false">COUNTIF(Prestations!$F$5:$F$256,A54)</f>
        <v>14</v>
      </c>
      <c r="G54" s="12" t="s">
        <v>180</v>
      </c>
    </row>
    <row r="55" customFormat="false" ht="23.85" hidden="false" customHeight="false" outlineLevel="0" collapsed="false">
      <c r="A55" s="11" t="s">
        <v>181</v>
      </c>
      <c r="B55" s="12" t="s">
        <v>178</v>
      </c>
      <c r="C55" s="12" t="s">
        <v>182</v>
      </c>
      <c r="D55" s="13" t="n">
        <v>0</v>
      </c>
      <c r="E55" s="14" t="n">
        <f aca="false">D55/MinParPoint</f>
        <v>0</v>
      </c>
      <c r="F55" s="12" t="n">
        <f aca="false">COUNTIF(Prestations!$F$5:$F$256,A55)</f>
        <v>2</v>
      </c>
      <c r="G55" s="12" t="s">
        <v>183</v>
      </c>
    </row>
    <row r="56" customFormat="false" ht="23.85" hidden="false" customHeight="false" outlineLevel="0" collapsed="false">
      <c r="A56" s="11" t="s">
        <v>184</v>
      </c>
      <c r="B56" s="12" t="s">
        <v>185</v>
      </c>
      <c r="C56" s="12" t="s">
        <v>186</v>
      </c>
      <c r="D56" s="13" t="n">
        <v>0</v>
      </c>
      <c r="E56" s="14" t="n">
        <f aca="false">D56/MinParPoint</f>
        <v>0</v>
      </c>
      <c r="F56" s="12" t="n">
        <f aca="false">COUNTIF(Prestations!$F$5:$F$256,A56)</f>
        <v>2</v>
      </c>
      <c r="G56" s="12" t="s"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58"/>
    <col collapsed="false" customWidth="true" hidden="false" outlineLevel="0" max="5" min="5" style="0" width="22"/>
    <col collapsed="false" customWidth="true" hidden="false" outlineLevel="0" max="6" min="6" style="0" width="40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9"/>
  </cols>
  <sheetData>
    <row r="1" customFormat="false" ht="17.35" hidden="false" customHeight="false" outlineLevel="0" collapsed="false">
      <c r="A1" s="1" t="s">
        <v>188</v>
      </c>
    </row>
    <row r="2" customFormat="false" ht="15" hidden="false" customHeight="false" outlineLevel="0" collapsed="false">
      <c r="A2" s="6" t="s">
        <v>189</v>
      </c>
    </row>
    <row r="4" customFormat="false" ht="35.05" hidden="false" customHeight="false" outlineLevel="0" collapsed="false">
      <c r="A4" s="10" t="s">
        <v>190</v>
      </c>
      <c r="B4" s="10" t="s">
        <v>191</v>
      </c>
      <c r="C4" s="10" t="s">
        <v>192</v>
      </c>
      <c r="D4" s="10" t="s">
        <v>193</v>
      </c>
      <c r="E4" s="10" t="s">
        <v>194</v>
      </c>
      <c r="F4" s="10" t="s">
        <v>27</v>
      </c>
      <c r="G4" s="10" t="s">
        <v>195</v>
      </c>
      <c r="H4" s="10" t="s">
        <v>196</v>
      </c>
      <c r="I4" s="10" t="s">
        <v>197</v>
      </c>
      <c r="J4" s="10" t="s">
        <v>198</v>
      </c>
      <c r="K4" s="10" t="s">
        <v>199</v>
      </c>
    </row>
    <row r="5" customFormat="false" ht="15" hidden="false" customHeight="false" outlineLevel="0" collapsed="false">
      <c r="A5" s="15" t="s">
        <v>200</v>
      </c>
      <c r="B5" s="15" t="s">
        <v>201</v>
      </c>
      <c r="C5" s="15" t="s">
        <v>202</v>
      </c>
      <c r="D5" s="15" t="s">
        <v>203</v>
      </c>
      <c r="E5" s="15" t="s">
        <v>204</v>
      </c>
      <c r="F5" s="16" t="s">
        <v>42</v>
      </c>
      <c r="G5" s="8" t="n">
        <f aca="false">IFERROR(INDEX(Familles!$D$5:$D$56,MATCH(F5,Familles!$A$5:$A$56,0)),"")</f>
        <v>60</v>
      </c>
      <c r="H5" s="16"/>
      <c r="I5" s="16"/>
      <c r="J5" s="8" t="n">
        <f aca="false">IF(AND(H5="",G5=""),"",IF(H5&lt;&gt;"",H5,G5)*IF(I5="oui",1+MajHNO,1))</f>
        <v>60</v>
      </c>
      <c r="K5" s="17" t="n">
        <f aca="false">IF(J5="","",J5/MinParPoint)</f>
        <v>4</v>
      </c>
    </row>
    <row r="6" customFormat="false" ht="15" hidden="false" customHeight="false" outlineLevel="0" collapsed="false">
      <c r="A6" s="15" t="s">
        <v>200</v>
      </c>
      <c r="B6" s="15" t="s">
        <v>201</v>
      </c>
      <c r="C6" s="15" t="s">
        <v>205</v>
      </c>
      <c r="D6" s="15" t="s">
        <v>206</v>
      </c>
      <c r="E6" s="15" t="s">
        <v>204</v>
      </c>
      <c r="F6" s="16" t="s">
        <v>42</v>
      </c>
      <c r="G6" s="8" t="n">
        <f aca="false">IFERROR(INDEX(Familles!$D$5:$D$56,MATCH(F6,Familles!$A$5:$A$56,0)),"")</f>
        <v>60</v>
      </c>
      <c r="H6" s="16"/>
      <c r="I6" s="16"/>
      <c r="J6" s="8" t="n">
        <f aca="false">IF(AND(H6="",G6=""),"",IF(H6&lt;&gt;"",H6,G6)*IF(I6="oui",1+MajHNO,1))</f>
        <v>60</v>
      </c>
      <c r="K6" s="17" t="n">
        <f aca="false">IF(J6="","",J6/MinParPoint)</f>
        <v>4</v>
      </c>
    </row>
    <row r="7" customFormat="false" ht="15" hidden="false" customHeight="false" outlineLevel="0" collapsed="false">
      <c r="A7" s="15" t="s">
        <v>200</v>
      </c>
      <c r="B7" s="15" t="s">
        <v>201</v>
      </c>
      <c r="C7" s="15" t="s">
        <v>207</v>
      </c>
      <c r="D7" s="15" t="s">
        <v>208</v>
      </c>
      <c r="E7" s="15" t="s">
        <v>204</v>
      </c>
      <c r="F7" s="16" t="s">
        <v>42</v>
      </c>
      <c r="G7" s="8" t="n">
        <f aca="false">IFERROR(INDEX(Familles!$D$5:$D$56,MATCH(F7,Familles!$A$5:$A$56,0)),"")</f>
        <v>60</v>
      </c>
      <c r="H7" s="16"/>
      <c r="I7" s="16" t="s">
        <v>209</v>
      </c>
      <c r="J7" s="8" t="n">
        <f aca="false">IF(AND(H7="",G7=""),"",IF(H7&lt;&gt;"",H7,G7)*IF(I7="oui",1+MajHNO,1))</f>
        <v>75</v>
      </c>
      <c r="K7" s="17" t="n">
        <f aca="false">IF(J7="","",J7/MinParPoint)</f>
        <v>5</v>
      </c>
    </row>
    <row r="8" customFormat="false" ht="15" hidden="false" customHeight="false" outlineLevel="0" collapsed="false">
      <c r="A8" s="15" t="s">
        <v>200</v>
      </c>
      <c r="B8" s="15" t="s">
        <v>201</v>
      </c>
      <c r="C8" s="15" t="s">
        <v>210</v>
      </c>
      <c r="D8" s="15" t="s">
        <v>211</v>
      </c>
      <c r="E8" s="15" t="s">
        <v>204</v>
      </c>
      <c r="F8" s="16" t="s">
        <v>42</v>
      </c>
      <c r="G8" s="8" t="n">
        <f aca="false">IFERROR(INDEX(Familles!$D$5:$D$56,MATCH(F8,Familles!$A$5:$A$56,0)),"")</f>
        <v>60</v>
      </c>
      <c r="H8" s="16"/>
      <c r="I8" s="16"/>
      <c r="J8" s="8" t="n">
        <f aca="false">IF(AND(H8="",G8=""),"",IF(H8&lt;&gt;"",H8,G8)*IF(I8="oui",1+MajHNO,1))</f>
        <v>60</v>
      </c>
      <c r="K8" s="17" t="n">
        <f aca="false">IF(J8="","",J8/MinParPoint)</f>
        <v>4</v>
      </c>
    </row>
    <row r="9" customFormat="false" ht="15" hidden="false" customHeight="false" outlineLevel="0" collapsed="false">
      <c r="A9" s="15" t="s">
        <v>200</v>
      </c>
      <c r="B9" s="15" t="s">
        <v>201</v>
      </c>
      <c r="C9" s="15" t="s">
        <v>212</v>
      </c>
      <c r="D9" s="15" t="s">
        <v>213</v>
      </c>
      <c r="E9" s="15" t="s">
        <v>204</v>
      </c>
      <c r="F9" s="16" t="s">
        <v>42</v>
      </c>
      <c r="G9" s="8" t="n">
        <f aca="false">IFERROR(INDEX(Familles!$D$5:$D$56,MATCH(F9,Familles!$A$5:$A$56,0)),"")</f>
        <v>60</v>
      </c>
      <c r="H9" s="16"/>
      <c r="I9" s="16" t="s">
        <v>209</v>
      </c>
      <c r="J9" s="8" t="n">
        <f aca="false">IF(AND(H9="",G9=""),"",IF(H9&lt;&gt;"",H9,G9)*IF(I9="oui",1+MajHNO,1))</f>
        <v>75</v>
      </c>
      <c r="K9" s="17" t="n">
        <f aca="false">IF(J9="","",J9/MinParPoint)</f>
        <v>5</v>
      </c>
    </row>
    <row r="10" customFormat="false" ht="15" hidden="false" customHeight="false" outlineLevel="0" collapsed="false">
      <c r="A10" s="15" t="s">
        <v>200</v>
      </c>
      <c r="B10" s="15" t="s">
        <v>201</v>
      </c>
      <c r="C10" s="15" t="s">
        <v>214</v>
      </c>
      <c r="D10" s="15" t="s">
        <v>215</v>
      </c>
      <c r="E10" s="15" t="s">
        <v>216</v>
      </c>
      <c r="F10" s="16" t="s">
        <v>177</v>
      </c>
      <c r="G10" s="8" t="n">
        <f aca="false">IFERROR(INDEX(Familles!$D$5:$D$56,MATCH(F10,Familles!$A$5:$A$56,0)),"")</f>
        <v>0</v>
      </c>
      <c r="H10" s="16"/>
      <c r="I10" s="16"/>
      <c r="J10" s="8" t="n">
        <f aca="false">IF(AND(H10="",G10=""),"",IF(H10&lt;&gt;"",H10,G10)*IF(I10="oui",1+MajHNO,1))</f>
        <v>0</v>
      </c>
      <c r="K10" s="17" t="n">
        <f aca="false">IF(J10="","",J10/MinParPoint)</f>
        <v>0</v>
      </c>
    </row>
    <row r="11" customFormat="false" ht="15" hidden="false" customHeight="false" outlineLevel="0" collapsed="false">
      <c r="A11" s="15" t="s">
        <v>200</v>
      </c>
      <c r="B11" s="15" t="s">
        <v>217</v>
      </c>
      <c r="C11" s="15" t="s">
        <v>218</v>
      </c>
      <c r="D11" s="15" t="s">
        <v>219</v>
      </c>
      <c r="E11" s="15" t="s">
        <v>220</v>
      </c>
      <c r="F11" s="16" t="s">
        <v>46</v>
      </c>
      <c r="G11" s="8" t="n">
        <f aca="false">IFERROR(INDEX(Familles!$D$5:$D$56,MATCH(F11,Familles!$A$5:$A$56,0)),"")</f>
        <v>180</v>
      </c>
      <c r="H11" s="16"/>
      <c r="I11" s="16"/>
      <c r="J11" s="8" t="n">
        <f aca="false">IF(AND(H11="",G11=""),"",IF(H11&lt;&gt;"",H11,G11)*IF(I11="oui",1+MajHNO,1))</f>
        <v>180</v>
      </c>
      <c r="K11" s="17" t="n">
        <f aca="false">IF(J11="","",J11/MinParPoint)</f>
        <v>12</v>
      </c>
    </row>
    <row r="12" customFormat="false" ht="15" hidden="false" customHeight="false" outlineLevel="0" collapsed="false">
      <c r="A12" s="15" t="s">
        <v>200</v>
      </c>
      <c r="B12" s="15" t="s">
        <v>217</v>
      </c>
      <c r="C12" s="15" t="s">
        <v>221</v>
      </c>
      <c r="D12" s="15" t="s">
        <v>222</v>
      </c>
      <c r="E12" s="15" t="s">
        <v>220</v>
      </c>
      <c r="F12" s="16" t="s">
        <v>46</v>
      </c>
      <c r="G12" s="8" t="n">
        <f aca="false">IFERROR(INDEX(Familles!$D$5:$D$56,MATCH(F12,Familles!$A$5:$A$56,0)),"")</f>
        <v>180</v>
      </c>
      <c r="H12" s="16"/>
      <c r="I12" s="16" t="s">
        <v>209</v>
      </c>
      <c r="J12" s="8" t="n">
        <f aca="false">IF(AND(H12="",G12=""),"",IF(H12&lt;&gt;"",H12,G12)*IF(I12="oui",1+MajHNO,1))</f>
        <v>225</v>
      </c>
      <c r="K12" s="17" t="n">
        <f aca="false">IF(J12="","",J12/MinParPoint)</f>
        <v>15</v>
      </c>
    </row>
    <row r="13" customFormat="false" ht="15" hidden="false" customHeight="false" outlineLevel="0" collapsed="false">
      <c r="A13" s="15" t="s">
        <v>200</v>
      </c>
      <c r="B13" s="15" t="s">
        <v>217</v>
      </c>
      <c r="C13" s="15" t="s">
        <v>223</v>
      </c>
      <c r="D13" s="15" t="s">
        <v>224</v>
      </c>
      <c r="E13" s="15" t="s">
        <v>220</v>
      </c>
      <c r="F13" s="16" t="s">
        <v>46</v>
      </c>
      <c r="G13" s="8" t="n">
        <f aca="false">IFERROR(INDEX(Familles!$D$5:$D$56,MATCH(F13,Familles!$A$5:$A$56,0)),"")</f>
        <v>180</v>
      </c>
      <c r="H13" s="16"/>
      <c r="I13" s="16"/>
      <c r="J13" s="8" t="n">
        <f aca="false">IF(AND(H13="",G13=""),"",IF(H13&lt;&gt;"",H13,G13)*IF(I13="oui",1+MajHNO,1))</f>
        <v>180</v>
      </c>
      <c r="K13" s="17" t="n">
        <f aca="false">IF(J13="","",J13/MinParPoint)</f>
        <v>12</v>
      </c>
    </row>
    <row r="14" customFormat="false" ht="15" hidden="false" customHeight="false" outlineLevel="0" collapsed="false">
      <c r="A14" s="15" t="s">
        <v>200</v>
      </c>
      <c r="B14" s="15" t="s">
        <v>217</v>
      </c>
      <c r="C14" s="15" t="s">
        <v>225</v>
      </c>
      <c r="D14" s="15" t="s">
        <v>226</v>
      </c>
      <c r="E14" s="15" t="s">
        <v>220</v>
      </c>
      <c r="F14" s="16" t="s">
        <v>46</v>
      </c>
      <c r="G14" s="8" t="n">
        <f aca="false">IFERROR(INDEX(Familles!$D$5:$D$56,MATCH(F14,Familles!$A$5:$A$56,0)),"")</f>
        <v>180</v>
      </c>
      <c r="H14" s="16"/>
      <c r="I14" s="16"/>
      <c r="J14" s="8" t="n">
        <f aca="false">IF(AND(H14="",G14=""),"",IF(H14&lt;&gt;"",H14,G14)*IF(I14="oui",1+MajHNO,1))</f>
        <v>180</v>
      </c>
      <c r="K14" s="17" t="n">
        <f aca="false">IF(J14="","",J14/MinParPoint)</f>
        <v>12</v>
      </c>
    </row>
    <row r="15" customFormat="false" ht="15" hidden="false" customHeight="false" outlineLevel="0" collapsed="false">
      <c r="A15" s="15" t="s">
        <v>200</v>
      </c>
      <c r="B15" s="15" t="s">
        <v>217</v>
      </c>
      <c r="C15" s="15" t="s">
        <v>227</v>
      </c>
      <c r="D15" s="15" t="s">
        <v>228</v>
      </c>
      <c r="E15" s="15" t="s">
        <v>220</v>
      </c>
      <c r="F15" s="16" t="s">
        <v>50</v>
      </c>
      <c r="G15" s="8" t="n">
        <f aca="false">IFERROR(INDEX(Familles!$D$5:$D$56,MATCH(F15,Familles!$A$5:$A$56,0)),"")</f>
        <v>240</v>
      </c>
      <c r="H15" s="16"/>
      <c r="I15" s="16"/>
      <c r="J15" s="8" t="n">
        <f aca="false">IF(AND(H15="",G15=""),"",IF(H15&lt;&gt;"",H15,G15)*IF(I15="oui",1+MajHNO,1))</f>
        <v>240</v>
      </c>
      <c r="K15" s="17" t="n">
        <f aca="false">IF(J15="","",J15/MinParPoint)</f>
        <v>16</v>
      </c>
    </row>
    <row r="16" customFormat="false" ht="15" hidden="false" customHeight="false" outlineLevel="0" collapsed="false">
      <c r="A16" s="15" t="s">
        <v>200</v>
      </c>
      <c r="B16" s="15" t="s">
        <v>217</v>
      </c>
      <c r="C16" s="15" t="s">
        <v>229</v>
      </c>
      <c r="D16" s="15" t="s">
        <v>230</v>
      </c>
      <c r="E16" s="15" t="s">
        <v>220</v>
      </c>
      <c r="F16" s="16" t="s">
        <v>50</v>
      </c>
      <c r="G16" s="8" t="n">
        <f aca="false">IFERROR(INDEX(Familles!$D$5:$D$56,MATCH(F16,Familles!$A$5:$A$56,0)),"")</f>
        <v>240</v>
      </c>
      <c r="H16" s="16"/>
      <c r="I16" s="16" t="s">
        <v>209</v>
      </c>
      <c r="J16" s="8" t="n">
        <f aca="false">IF(AND(H16="",G16=""),"",IF(H16&lt;&gt;"",H16,G16)*IF(I16="oui",1+MajHNO,1))</f>
        <v>300</v>
      </c>
      <c r="K16" s="17" t="n">
        <f aca="false">IF(J16="","",J16/MinParPoint)</f>
        <v>20</v>
      </c>
    </row>
    <row r="17" customFormat="false" ht="15" hidden="false" customHeight="false" outlineLevel="0" collapsed="false">
      <c r="A17" s="15" t="s">
        <v>200</v>
      </c>
      <c r="B17" s="15" t="s">
        <v>217</v>
      </c>
      <c r="C17" s="15" t="s">
        <v>231</v>
      </c>
      <c r="D17" s="15" t="s">
        <v>232</v>
      </c>
      <c r="E17" s="15" t="s">
        <v>220</v>
      </c>
      <c r="F17" s="16" t="s">
        <v>50</v>
      </c>
      <c r="G17" s="8" t="n">
        <f aca="false">IFERROR(INDEX(Familles!$D$5:$D$56,MATCH(F17,Familles!$A$5:$A$56,0)),"")</f>
        <v>240</v>
      </c>
      <c r="H17" s="16"/>
      <c r="I17" s="16"/>
      <c r="J17" s="8" t="n">
        <f aca="false">IF(AND(H17="",G17=""),"",IF(H17&lt;&gt;"",H17,G17)*IF(I17="oui",1+MajHNO,1))</f>
        <v>240</v>
      </c>
      <c r="K17" s="17" t="n">
        <f aca="false">IF(J17="","",J17/MinParPoint)</f>
        <v>16</v>
      </c>
    </row>
    <row r="18" customFormat="false" ht="15" hidden="false" customHeight="false" outlineLevel="0" collapsed="false">
      <c r="A18" s="15" t="s">
        <v>200</v>
      </c>
      <c r="B18" s="15" t="s">
        <v>217</v>
      </c>
      <c r="C18" s="15" t="s">
        <v>233</v>
      </c>
      <c r="D18" s="15" t="s">
        <v>234</v>
      </c>
      <c r="E18" s="15" t="s">
        <v>220</v>
      </c>
      <c r="F18" s="16" t="s">
        <v>50</v>
      </c>
      <c r="G18" s="8" t="n">
        <f aca="false">IFERROR(INDEX(Familles!$D$5:$D$56,MATCH(F18,Familles!$A$5:$A$56,0)),"")</f>
        <v>240</v>
      </c>
      <c r="H18" s="16"/>
      <c r="I18" s="16"/>
      <c r="J18" s="8" t="n">
        <f aca="false">IF(AND(H18="",G18=""),"",IF(H18&lt;&gt;"",H18,G18)*IF(I18="oui",1+MajHNO,1))</f>
        <v>240</v>
      </c>
      <c r="K18" s="17" t="n">
        <f aca="false">IF(J18="","",J18/MinParPoint)</f>
        <v>16</v>
      </c>
    </row>
    <row r="19" customFormat="false" ht="15" hidden="false" customHeight="false" outlineLevel="0" collapsed="false">
      <c r="A19" s="15" t="s">
        <v>200</v>
      </c>
      <c r="B19" s="15" t="s">
        <v>217</v>
      </c>
      <c r="C19" s="15" t="s">
        <v>235</v>
      </c>
      <c r="D19" s="15" t="s">
        <v>236</v>
      </c>
      <c r="E19" s="15" t="s">
        <v>220</v>
      </c>
      <c r="F19" s="16" t="s">
        <v>52</v>
      </c>
      <c r="G19" s="8" t="n">
        <f aca="false">IFERROR(INDEX(Familles!$D$5:$D$56,MATCH(F19,Familles!$A$5:$A$56,0)),"")</f>
        <v>360</v>
      </c>
      <c r="H19" s="16"/>
      <c r="I19" s="16"/>
      <c r="J19" s="8" t="n">
        <f aca="false">IF(AND(H19="",G19=""),"",IF(H19&lt;&gt;"",H19,G19)*IF(I19="oui",1+MajHNO,1))</f>
        <v>360</v>
      </c>
      <c r="K19" s="17" t="n">
        <f aca="false">IF(J19="","",J19/MinParPoint)</f>
        <v>24</v>
      </c>
    </row>
    <row r="20" customFormat="false" ht="15" hidden="false" customHeight="false" outlineLevel="0" collapsed="false">
      <c r="A20" s="15" t="s">
        <v>200</v>
      </c>
      <c r="B20" s="15" t="s">
        <v>217</v>
      </c>
      <c r="C20" s="15" t="s">
        <v>237</v>
      </c>
      <c r="D20" s="15" t="s">
        <v>238</v>
      </c>
      <c r="E20" s="15" t="s">
        <v>220</v>
      </c>
      <c r="F20" s="16" t="s">
        <v>52</v>
      </c>
      <c r="G20" s="8" t="n">
        <f aca="false">IFERROR(INDEX(Familles!$D$5:$D$56,MATCH(F20,Familles!$A$5:$A$56,0)),"")</f>
        <v>360</v>
      </c>
      <c r="H20" s="16"/>
      <c r="I20" s="16" t="s">
        <v>209</v>
      </c>
      <c r="J20" s="8" t="n">
        <f aca="false">IF(AND(H20="",G20=""),"",IF(H20&lt;&gt;"",H20,G20)*IF(I20="oui",1+MajHNO,1))</f>
        <v>450</v>
      </c>
      <c r="K20" s="17" t="n">
        <f aca="false">IF(J20="","",J20/MinParPoint)</f>
        <v>30</v>
      </c>
    </row>
    <row r="21" customFormat="false" ht="15" hidden="false" customHeight="false" outlineLevel="0" collapsed="false">
      <c r="A21" s="15" t="s">
        <v>200</v>
      </c>
      <c r="B21" s="15" t="s">
        <v>217</v>
      </c>
      <c r="C21" s="15" t="s">
        <v>239</v>
      </c>
      <c r="D21" s="15" t="s">
        <v>240</v>
      </c>
      <c r="E21" s="15" t="s">
        <v>220</v>
      </c>
      <c r="F21" s="16" t="s">
        <v>52</v>
      </c>
      <c r="G21" s="8" t="n">
        <f aca="false">IFERROR(INDEX(Familles!$D$5:$D$56,MATCH(F21,Familles!$A$5:$A$56,0)),"")</f>
        <v>360</v>
      </c>
      <c r="H21" s="16"/>
      <c r="I21" s="16"/>
      <c r="J21" s="8" t="n">
        <f aca="false">IF(AND(H21="",G21=""),"",IF(H21&lt;&gt;"",H21,G21)*IF(I21="oui",1+MajHNO,1))</f>
        <v>360</v>
      </c>
      <c r="K21" s="17" t="n">
        <f aca="false">IF(J21="","",J21/MinParPoint)</f>
        <v>24</v>
      </c>
    </row>
    <row r="22" customFormat="false" ht="15" hidden="false" customHeight="false" outlineLevel="0" collapsed="false">
      <c r="A22" s="15" t="s">
        <v>200</v>
      </c>
      <c r="B22" s="15" t="s">
        <v>217</v>
      </c>
      <c r="C22" s="15" t="s">
        <v>241</v>
      </c>
      <c r="D22" s="15" t="s">
        <v>242</v>
      </c>
      <c r="E22" s="15" t="s">
        <v>220</v>
      </c>
      <c r="F22" s="16" t="s">
        <v>52</v>
      </c>
      <c r="G22" s="8" t="n">
        <f aca="false">IFERROR(INDEX(Familles!$D$5:$D$56,MATCH(F22,Familles!$A$5:$A$56,0)),"")</f>
        <v>360</v>
      </c>
      <c r="H22" s="16"/>
      <c r="I22" s="16"/>
      <c r="J22" s="8" t="n">
        <f aca="false">IF(AND(H22="",G22=""),"",IF(H22&lt;&gt;"",H22,G22)*IF(I22="oui",1+MajHNO,1))</f>
        <v>360</v>
      </c>
      <c r="K22" s="17" t="n">
        <f aca="false">IF(J22="","",J22/MinParPoint)</f>
        <v>24</v>
      </c>
    </row>
    <row r="23" customFormat="false" ht="15" hidden="false" customHeight="false" outlineLevel="0" collapsed="false">
      <c r="A23" s="15" t="s">
        <v>243</v>
      </c>
      <c r="B23" s="15"/>
      <c r="C23" s="15" t="s">
        <v>244</v>
      </c>
      <c r="D23" s="15" t="s">
        <v>36</v>
      </c>
      <c r="E23" s="15" t="s">
        <v>245</v>
      </c>
      <c r="F23" s="16" t="s">
        <v>34</v>
      </c>
      <c r="G23" s="8" t="n">
        <f aca="false">IFERROR(INDEX(Familles!$D$5:$D$56,MATCH(F23,Familles!$A$5:$A$56,0)),"")</f>
        <v>120</v>
      </c>
      <c r="H23" s="16"/>
      <c r="I23" s="16"/>
      <c r="J23" s="8" t="n">
        <f aca="false">IF(AND(H23="",G23=""),"",IF(H23&lt;&gt;"",H23,G23)*IF(I23="oui",1+MajHNO,1))</f>
        <v>120</v>
      </c>
      <c r="K23" s="17" t="n">
        <f aca="false">IF(J23="","",J23/MinParPoint)</f>
        <v>8</v>
      </c>
    </row>
    <row r="24" customFormat="false" ht="15" hidden="false" customHeight="false" outlineLevel="0" collapsed="false">
      <c r="A24" s="15" t="s">
        <v>246</v>
      </c>
      <c r="B24" s="15"/>
      <c r="C24" s="15" t="s">
        <v>247</v>
      </c>
      <c r="D24" s="15" t="s">
        <v>36</v>
      </c>
      <c r="E24" s="15" t="s">
        <v>245</v>
      </c>
      <c r="F24" s="16" t="s">
        <v>34</v>
      </c>
      <c r="G24" s="8" t="n">
        <f aca="false">IFERROR(INDEX(Familles!$D$5:$D$56,MATCH(F24,Familles!$A$5:$A$56,0)),"")</f>
        <v>120</v>
      </c>
      <c r="H24" s="16"/>
      <c r="I24" s="16"/>
      <c r="J24" s="8" t="n">
        <f aca="false">IF(AND(H24="",G24=""),"",IF(H24&lt;&gt;"",H24,G24)*IF(I24="oui",1+MajHNO,1))</f>
        <v>120</v>
      </c>
      <c r="K24" s="17" t="n">
        <f aca="false">IF(J24="","",J24/MinParPoint)</f>
        <v>8</v>
      </c>
    </row>
    <row r="25" customFormat="false" ht="15" hidden="false" customHeight="false" outlineLevel="0" collapsed="false">
      <c r="A25" s="15" t="s">
        <v>246</v>
      </c>
      <c r="B25" s="15" t="s">
        <v>248</v>
      </c>
      <c r="C25" s="15" t="s">
        <v>249</v>
      </c>
      <c r="D25" s="15" t="s">
        <v>38</v>
      </c>
      <c r="E25" s="15" t="s">
        <v>245</v>
      </c>
      <c r="F25" s="16" t="s">
        <v>38</v>
      </c>
      <c r="G25" s="8" t="n">
        <f aca="false">IFERROR(INDEX(Familles!$D$5:$D$56,MATCH(F25,Familles!$A$5:$A$56,0)),"")</f>
        <v>150</v>
      </c>
      <c r="H25" s="16"/>
      <c r="I25" s="16"/>
      <c r="J25" s="8" t="n">
        <f aca="false">IF(AND(H25="",G25=""),"",IF(H25&lt;&gt;"",H25,G25)*IF(I25="oui",1+MajHNO,1))</f>
        <v>150</v>
      </c>
      <c r="K25" s="17" t="n">
        <f aca="false">IF(J25="","",J25/MinParPoint)</f>
        <v>10</v>
      </c>
    </row>
    <row r="26" customFormat="false" ht="15" hidden="false" customHeight="false" outlineLevel="0" collapsed="false">
      <c r="A26" s="15" t="s">
        <v>246</v>
      </c>
      <c r="B26" s="15" t="s">
        <v>248</v>
      </c>
      <c r="C26" s="15" t="s">
        <v>250</v>
      </c>
      <c r="D26" s="15" t="s">
        <v>40</v>
      </c>
      <c r="E26" s="15" t="s">
        <v>245</v>
      </c>
      <c r="F26" s="16" t="s">
        <v>40</v>
      </c>
      <c r="G26" s="8" t="n">
        <f aca="false">IFERROR(INDEX(Familles!$D$5:$D$56,MATCH(F26,Familles!$A$5:$A$56,0)),"")</f>
        <v>90</v>
      </c>
      <c r="H26" s="16"/>
      <c r="I26" s="16"/>
      <c r="J26" s="8" t="n">
        <f aca="false">IF(AND(H26="",G26=""),"",IF(H26&lt;&gt;"",H26,G26)*IF(I26="oui",1+MajHNO,1))</f>
        <v>90</v>
      </c>
      <c r="K26" s="17" t="n">
        <f aca="false">IF(J26="","",J26/MinParPoint)</f>
        <v>6</v>
      </c>
    </row>
    <row r="27" customFormat="false" ht="15" hidden="false" customHeight="false" outlineLevel="0" collapsed="false">
      <c r="A27" s="15" t="s">
        <v>251</v>
      </c>
      <c r="B27" s="15" t="s">
        <v>252</v>
      </c>
      <c r="C27" s="15" t="s">
        <v>253</v>
      </c>
      <c r="D27" s="15" t="s">
        <v>254</v>
      </c>
      <c r="E27" s="15" t="s">
        <v>255</v>
      </c>
      <c r="F27" s="16" t="s">
        <v>55</v>
      </c>
      <c r="G27" s="8" t="n">
        <f aca="false">IFERROR(INDEX(Familles!$D$5:$D$56,MATCH(F27,Familles!$A$5:$A$56,0)),"")</f>
        <v>90</v>
      </c>
      <c r="H27" s="16"/>
      <c r="I27" s="16"/>
      <c r="J27" s="8" t="n">
        <f aca="false">IF(AND(H27="",G27=""),"",IF(H27&lt;&gt;"",H27,G27)*IF(I27="oui",1+MajHNO,1))</f>
        <v>90</v>
      </c>
      <c r="K27" s="17" t="n">
        <f aca="false">IF(J27="","",J27/MinParPoint)</f>
        <v>6</v>
      </c>
    </row>
    <row r="28" customFormat="false" ht="15" hidden="false" customHeight="false" outlineLevel="0" collapsed="false">
      <c r="A28" s="15" t="s">
        <v>251</v>
      </c>
      <c r="B28" s="15" t="s">
        <v>252</v>
      </c>
      <c r="C28" s="15" t="s">
        <v>256</v>
      </c>
      <c r="D28" s="15" t="s">
        <v>257</v>
      </c>
      <c r="E28" s="15" t="s">
        <v>255</v>
      </c>
      <c r="F28" s="16" t="s">
        <v>55</v>
      </c>
      <c r="G28" s="8" t="n">
        <f aca="false">IFERROR(INDEX(Familles!$D$5:$D$56,MATCH(F28,Familles!$A$5:$A$56,0)),"")</f>
        <v>90</v>
      </c>
      <c r="H28" s="16"/>
      <c r="I28" s="16" t="s">
        <v>209</v>
      </c>
      <c r="J28" s="8" t="n">
        <f aca="false">IF(AND(H28="",G28=""),"",IF(H28&lt;&gt;"",H28,G28)*IF(I28="oui",1+MajHNO,1))</f>
        <v>112.5</v>
      </c>
      <c r="K28" s="17" t="n">
        <f aca="false">IF(J28="","",J28/MinParPoint)</f>
        <v>7.5</v>
      </c>
    </row>
    <row r="29" customFormat="false" ht="15" hidden="false" customHeight="false" outlineLevel="0" collapsed="false">
      <c r="A29" s="15" t="s">
        <v>251</v>
      </c>
      <c r="B29" s="15" t="s">
        <v>252</v>
      </c>
      <c r="C29" s="15" t="s">
        <v>258</v>
      </c>
      <c r="D29" s="15" t="s">
        <v>259</v>
      </c>
      <c r="E29" s="15" t="s">
        <v>255</v>
      </c>
      <c r="F29" s="16" t="s">
        <v>57</v>
      </c>
      <c r="G29" s="8" t="n">
        <f aca="false">IFERROR(INDEX(Familles!$D$5:$D$56,MATCH(F29,Familles!$A$5:$A$56,0)),"")</f>
        <v>180</v>
      </c>
      <c r="H29" s="16"/>
      <c r="I29" s="16"/>
      <c r="J29" s="8" t="n">
        <f aca="false">IF(AND(H29="",G29=""),"",IF(H29&lt;&gt;"",H29,G29)*IF(I29="oui",1+MajHNO,1))</f>
        <v>180</v>
      </c>
      <c r="K29" s="17" t="n">
        <f aca="false">IF(J29="","",J29/MinParPoint)</f>
        <v>12</v>
      </c>
    </row>
    <row r="30" customFormat="false" ht="15" hidden="false" customHeight="false" outlineLevel="0" collapsed="false">
      <c r="A30" s="15" t="s">
        <v>251</v>
      </c>
      <c r="B30" s="15" t="s">
        <v>252</v>
      </c>
      <c r="C30" s="15" t="s">
        <v>260</v>
      </c>
      <c r="D30" s="15" t="s">
        <v>261</v>
      </c>
      <c r="E30" s="15" t="s">
        <v>255</v>
      </c>
      <c r="F30" s="16" t="s">
        <v>57</v>
      </c>
      <c r="G30" s="8" t="n">
        <f aca="false">IFERROR(INDEX(Familles!$D$5:$D$56,MATCH(F30,Familles!$A$5:$A$56,0)),"")</f>
        <v>180</v>
      </c>
      <c r="H30" s="16"/>
      <c r="I30" s="16" t="s">
        <v>209</v>
      </c>
      <c r="J30" s="8" t="n">
        <f aca="false">IF(AND(H30="",G30=""),"",IF(H30&lt;&gt;"",H30,G30)*IF(I30="oui",1+MajHNO,1))</f>
        <v>225</v>
      </c>
      <c r="K30" s="17" t="n">
        <f aca="false">IF(J30="","",J30/MinParPoint)</f>
        <v>15</v>
      </c>
    </row>
    <row r="31" customFormat="false" ht="15" hidden="false" customHeight="false" outlineLevel="0" collapsed="false">
      <c r="A31" s="15" t="s">
        <v>251</v>
      </c>
      <c r="B31" s="15" t="s">
        <v>252</v>
      </c>
      <c r="C31" s="15" t="s">
        <v>262</v>
      </c>
      <c r="D31" s="15" t="s">
        <v>263</v>
      </c>
      <c r="E31" s="15" t="s">
        <v>255</v>
      </c>
      <c r="F31" s="16" t="s">
        <v>60</v>
      </c>
      <c r="G31" s="8" t="n">
        <f aca="false">IFERROR(INDEX(Familles!$D$5:$D$56,MATCH(F31,Familles!$A$5:$A$56,0)),"")</f>
        <v>300</v>
      </c>
      <c r="H31" s="16"/>
      <c r="I31" s="16"/>
      <c r="J31" s="8" t="n">
        <f aca="false">IF(AND(H31="",G31=""),"",IF(H31&lt;&gt;"",H31,G31)*IF(I31="oui",1+MajHNO,1))</f>
        <v>300</v>
      </c>
      <c r="K31" s="17" t="n">
        <f aca="false">IF(J31="","",J31/MinParPoint)</f>
        <v>20</v>
      </c>
    </row>
    <row r="32" customFormat="false" ht="15" hidden="false" customHeight="false" outlineLevel="0" collapsed="false">
      <c r="A32" s="15" t="s">
        <v>251</v>
      </c>
      <c r="B32" s="15" t="s">
        <v>252</v>
      </c>
      <c r="C32" s="15" t="s">
        <v>264</v>
      </c>
      <c r="D32" s="15" t="s">
        <v>265</v>
      </c>
      <c r="E32" s="15" t="s">
        <v>255</v>
      </c>
      <c r="F32" s="16" t="s">
        <v>60</v>
      </c>
      <c r="G32" s="8" t="n">
        <f aca="false">IFERROR(INDEX(Familles!$D$5:$D$56,MATCH(F32,Familles!$A$5:$A$56,0)),"")</f>
        <v>300</v>
      </c>
      <c r="H32" s="16"/>
      <c r="I32" s="16" t="s">
        <v>209</v>
      </c>
      <c r="J32" s="8" t="n">
        <f aca="false">IF(AND(H32="",G32=""),"",IF(H32&lt;&gt;"",H32,G32)*IF(I32="oui",1+MajHNO,1))</f>
        <v>375</v>
      </c>
      <c r="K32" s="17" t="n">
        <f aca="false">IF(J32="","",J32/MinParPoint)</f>
        <v>25</v>
      </c>
    </row>
    <row r="33" customFormat="false" ht="15" hidden="false" customHeight="false" outlineLevel="0" collapsed="false">
      <c r="A33" s="15" t="s">
        <v>266</v>
      </c>
      <c r="B33" s="15"/>
      <c r="C33" s="15" t="s">
        <v>267</v>
      </c>
      <c r="D33" s="15" t="s">
        <v>36</v>
      </c>
      <c r="E33" s="15" t="s">
        <v>245</v>
      </c>
      <c r="F33" s="16" t="s">
        <v>34</v>
      </c>
      <c r="G33" s="8" t="n">
        <f aca="false">IFERROR(INDEX(Familles!$D$5:$D$56,MATCH(F33,Familles!$A$5:$A$56,0)),"")</f>
        <v>120</v>
      </c>
      <c r="H33" s="16"/>
      <c r="I33" s="16"/>
      <c r="J33" s="8" t="n">
        <f aca="false">IF(AND(H33="",G33=""),"",IF(H33&lt;&gt;"",H33,G33)*IF(I33="oui",1+MajHNO,1))</f>
        <v>120</v>
      </c>
      <c r="K33" s="17" t="n">
        <f aca="false">IF(J33="","",J33/MinParPoint)</f>
        <v>8</v>
      </c>
    </row>
    <row r="34" customFormat="false" ht="15" hidden="false" customHeight="false" outlineLevel="0" collapsed="false">
      <c r="A34" s="15" t="s">
        <v>268</v>
      </c>
      <c r="B34" s="15"/>
      <c r="C34" s="15" t="s">
        <v>269</v>
      </c>
      <c r="D34" s="15" t="s">
        <v>36</v>
      </c>
      <c r="E34" s="15" t="s">
        <v>245</v>
      </c>
      <c r="F34" s="16" t="s">
        <v>34</v>
      </c>
      <c r="G34" s="8" t="n">
        <f aca="false">IFERROR(INDEX(Familles!$D$5:$D$56,MATCH(F34,Familles!$A$5:$A$56,0)),"")</f>
        <v>120</v>
      </c>
      <c r="H34" s="16"/>
      <c r="I34" s="16"/>
      <c r="J34" s="8" t="n">
        <f aca="false">IF(AND(H34="",G34=""),"",IF(H34&lt;&gt;"",H34,G34)*IF(I34="oui",1+MajHNO,1))</f>
        <v>120</v>
      </c>
      <c r="K34" s="17" t="n">
        <f aca="false">IF(J34="","",J34/MinParPoint)</f>
        <v>8</v>
      </c>
    </row>
    <row r="35" customFormat="false" ht="15" hidden="false" customHeight="false" outlineLevel="0" collapsed="false">
      <c r="A35" s="15" t="s">
        <v>270</v>
      </c>
      <c r="B35" s="15"/>
      <c r="C35" s="15" t="s">
        <v>271</v>
      </c>
      <c r="D35" s="15" t="s">
        <v>36</v>
      </c>
      <c r="E35" s="15" t="s">
        <v>245</v>
      </c>
      <c r="F35" s="16" t="s">
        <v>34</v>
      </c>
      <c r="G35" s="8" t="n">
        <f aca="false">IFERROR(INDEX(Familles!$D$5:$D$56,MATCH(F35,Familles!$A$5:$A$56,0)),"")</f>
        <v>120</v>
      </c>
      <c r="H35" s="16"/>
      <c r="I35" s="16"/>
      <c r="J35" s="8" t="n">
        <f aca="false">IF(AND(H35="",G35=""),"",IF(H35&lt;&gt;"",H35,G35)*IF(I35="oui",1+MajHNO,1))</f>
        <v>120</v>
      </c>
      <c r="K35" s="17" t="n">
        <f aca="false">IF(J35="","",J35/MinParPoint)</f>
        <v>8</v>
      </c>
    </row>
    <row r="36" customFormat="false" ht="15" hidden="false" customHeight="false" outlineLevel="0" collapsed="false">
      <c r="A36" s="15" t="s">
        <v>270</v>
      </c>
      <c r="B36" s="15" t="s">
        <v>248</v>
      </c>
      <c r="C36" s="15" t="s">
        <v>272</v>
      </c>
      <c r="D36" s="15" t="s">
        <v>38</v>
      </c>
      <c r="E36" s="15" t="s">
        <v>245</v>
      </c>
      <c r="F36" s="16" t="s">
        <v>38</v>
      </c>
      <c r="G36" s="8" t="n">
        <f aca="false">IFERROR(INDEX(Familles!$D$5:$D$56,MATCH(F36,Familles!$A$5:$A$56,0)),"")</f>
        <v>150</v>
      </c>
      <c r="H36" s="16"/>
      <c r="I36" s="16"/>
      <c r="J36" s="8" t="n">
        <f aca="false">IF(AND(H36="",G36=""),"",IF(H36&lt;&gt;"",H36,G36)*IF(I36="oui",1+MajHNO,1))</f>
        <v>150</v>
      </c>
      <c r="K36" s="17" t="n">
        <f aca="false">IF(J36="","",J36/MinParPoint)</f>
        <v>10</v>
      </c>
    </row>
    <row r="37" customFormat="false" ht="15" hidden="false" customHeight="false" outlineLevel="0" collapsed="false">
      <c r="A37" s="15" t="s">
        <v>270</v>
      </c>
      <c r="B37" s="15" t="s">
        <v>248</v>
      </c>
      <c r="C37" s="15" t="s">
        <v>273</v>
      </c>
      <c r="D37" s="15" t="s">
        <v>40</v>
      </c>
      <c r="E37" s="15" t="s">
        <v>245</v>
      </c>
      <c r="F37" s="16" t="s">
        <v>40</v>
      </c>
      <c r="G37" s="8" t="n">
        <f aca="false">IFERROR(INDEX(Familles!$D$5:$D$56,MATCH(F37,Familles!$A$5:$A$56,0)),"")</f>
        <v>90</v>
      </c>
      <c r="H37" s="16"/>
      <c r="I37" s="16"/>
      <c r="J37" s="8" t="n">
        <f aca="false">IF(AND(H37="",G37=""),"",IF(H37&lt;&gt;"",H37,G37)*IF(I37="oui",1+MajHNO,1))</f>
        <v>90</v>
      </c>
      <c r="K37" s="17" t="n">
        <f aca="false">IF(J37="","",J37/MinParPoint)</f>
        <v>6</v>
      </c>
    </row>
    <row r="38" customFormat="false" ht="15" hidden="false" customHeight="false" outlineLevel="0" collapsed="false">
      <c r="A38" s="15" t="s">
        <v>274</v>
      </c>
      <c r="B38" s="15"/>
      <c r="C38" s="15" t="s">
        <v>275</v>
      </c>
      <c r="D38" s="15" t="s">
        <v>276</v>
      </c>
      <c r="E38" s="15" t="s">
        <v>277</v>
      </c>
      <c r="F38" s="16" t="s">
        <v>184</v>
      </c>
      <c r="G38" s="8" t="n">
        <f aca="false">IFERROR(INDEX(Familles!$D$5:$D$56,MATCH(F38,Familles!$A$5:$A$56,0)),"")</f>
        <v>0</v>
      </c>
      <c r="H38" s="16"/>
      <c r="I38" s="16"/>
      <c r="J38" s="8" t="n">
        <f aca="false">IF(AND(H38="",G38=""),"",IF(H38&lt;&gt;"",H38,G38)*IF(I38="oui",1+MajHNO,1))</f>
        <v>0</v>
      </c>
      <c r="K38" s="17" t="n">
        <f aca="false">IF(J38="","",J38/MinParPoint)</f>
        <v>0</v>
      </c>
    </row>
    <row r="39" customFormat="false" ht="15" hidden="false" customHeight="false" outlineLevel="0" collapsed="false">
      <c r="A39" s="15" t="s">
        <v>278</v>
      </c>
      <c r="B39" s="15"/>
      <c r="C39" s="15" t="s">
        <v>279</v>
      </c>
      <c r="D39" s="15" t="s">
        <v>280</v>
      </c>
      <c r="E39" s="15" t="s">
        <v>277</v>
      </c>
      <c r="F39" s="16" t="s">
        <v>184</v>
      </c>
      <c r="G39" s="8" t="n">
        <f aca="false">IFERROR(INDEX(Familles!$D$5:$D$56,MATCH(F39,Familles!$A$5:$A$56,0)),"")</f>
        <v>0</v>
      </c>
      <c r="H39" s="16"/>
      <c r="I39" s="16"/>
      <c r="J39" s="8" t="n">
        <f aca="false">IF(AND(H39="",G39=""),"",IF(H39&lt;&gt;"",H39,G39)*IF(I39="oui",1+MajHNO,1))</f>
        <v>0</v>
      </c>
      <c r="K39" s="17" t="n">
        <f aca="false">IF(J39="","",J39/MinParPoint)</f>
        <v>0</v>
      </c>
    </row>
    <row r="40" customFormat="false" ht="15" hidden="false" customHeight="false" outlineLevel="0" collapsed="false">
      <c r="A40" s="15" t="s">
        <v>243</v>
      </c>
      <c r="B40" s="15" t="s">
        <v>281</v>
      </c>
      <c r="C40" s="15" t="s">
        <v>282</v>
      </c>
      <c r="D40" s="15" t="s">
        <v>283</v>
      </c>
      <c r="E40" s="15" t="s">
        <v>284</v>
      </c>
      <c r="F40" s="16" t="s">
        <v>67</v>
      </c>
      <c r="G40" s="8" t="n">
        <f aca="false">IFERROR(INDEX(Familles!$D$5:$D$56,MATCH(F40,Familles!$A$5:$A$56,0)),"")</f>
        <v>600</v>
      </c>
      <c r="H40" s="16"/>
      <c r="I40" s="16"/>
      <c r="J40" s="8" t="n">
        <f aca="false">IF(AND(H40="",G40=""),"",IF(H40&lt;&gt;"",H40,G40)*IF(I40="oui",1+MajHNO,1))</f>
        <v>600</v>
      </c>
      <c r="K40" s="17" t="n">
        <f aca="false">IF(J40="","",J40/MinParPoint)</f>
        <v>40</v>
      </c>
    </row>
    <row r="41" customFormat="false" ht="15" hidden="false" customHeight="false" outlineLevel="0" collapsed="false">
      <c r="A41" s="15" t="s">
        <v>243</v>
      </c>
      <c r="B41" s="15" t="s">
        <v>281</v>
      </c>
      <c r="C41" s="15" t="s">
        <v>285</v>
      </c>
      <c r="D41" s="15" t="s">
        <v>286</v>
      </c>
      <c r="E41" s="15" t="s">
        <v>284</v>
      </c>
      <c r="F41" s="16" t="s">
        <v>67</v>
      </c>
      <c r="G41" s="8" t="n">
        <f aca="false">IFERROR(INDEX(Familles!$D$5:$D$56,MATCH(F41,Familles!$A$5:$A$56,0)),"")</f>
        <v>600</v>
      </c>
      <c r="H41" s="16"/>
      <c r="I41" s="16"/>
      <c r="J41" s="8" t="n">
        <f aca="false">IF(AND(H41="",G41=""),"",IF(H41&lt;&gt;"",H41,G41)*IF(I41="oui",1+MajHNO,1))</f>
        <v>600</v>
      </c>
      <c r="K41" s="17" t="n">
        <f aca="false">IF(J41="","",J41/MinParPoint)</f>
        <v>40</v>
      </c>
    </row>
    <row r="42" customFormat="false" ht="15" hidden="false" customHeight="false" outlineLevel="0" collapsed="false">
      <c r="A42" s="15" t="s">
        <v>243</v>
      </c>
      <c r="B42" s="15" t="s">
        <v>281</v>
      </c>
      <c r="C42" s="15" t="s">
        <v>287</v>
      </c>
      <c r="D42" s="15" t="s">
        <v>288</v>
      </c>
      <c r="E42" s="15" t="s">
        <v>284</v>
      </c>
      <c r="F42" s="16" t="s">
        <v>63</v>
      </c>
      <c r="G42" s="8" t="n">
        <f aca="false">IFERROR(INDEX(Familles!$D$5:$D$56,MATCH(F42,Familles!$A$5:$A$56,0)),"")</f>
        <v>360</v>
      </c>
      <c r="H42" s="16"/>
      <c r="I42" s="16"/>
      <c r="J42" s="8" t="n">
        <f aca="false">IF(AND(H42="",G42=""),"",IF(H42&lt;&gt;"",H42,G42)*IF(I42="oui",1+MajHNO,1))</f>
        <v>360</v>
      </c>
      <c r="K42" s="17" t="n">
        <f aca="false">IF(J42="","",J42/MinParPoint)</f>
        <v>24</v>
      </c>
    </row>
    <row r="43" customFormat="false" ht="15" hidden="false" customHeight="false" outlineLevel="0" collapsed="false">
      <c r="A43" s="15" t="s">
        <v>243</v>
      </c>
      <c r="B43" s="15" t="s">
        <v>281</v>
      </c>
      <c r="C43" s="15" t="s">
        <v>289</v>
      </c>
      <c r="D43" s="15" t="s">
        <v>290</v>
      </c>
      <c r="E43" s="15" t="s">
        <v>284</v>
      </c>
      <c r="F43" s="16" t="s">
        <v>63</v>
      </c>
      <c r="G43" s="8" t="n">
        <f aca="false">IFERROR(INDEX(Familles!$D$5:$D$56,MATCH(F43,Familles!$A$5:$A$56,0)),"")</f>
        <v>360</v>
      </c>
      <c r="H43" s="16"/>
      <c r="I43" s="16"/>
      <c r="J43" s="8" t="n">
        <f aca="false">IF(AND(H43="",G43=""),"",IF(H43&lt;&gt;"",H43,G43)*IF(I43="oui",1+MajHNO,1))</f>
        <v>360</v>
      </c>
      <c r="K43" s="17" t="n">
        <f aca="false">IF(J43="","",J43/MinParPoint)</f>
        <v>24</v>
      </c>
    </row>
    <row r="44" customFormat="false" ht="15" hidden="false" customHeight="false" outlineLevel="0" collapsed="false">
      <c r="A44" s="15" t="s">
        <v>243</v>
      </c>
      <c r="B44" s="15" t="s">
        <v>291</v>
      </c>
      <c r="C44" s="15" t="s">
        <v>292</v>
      </c>
      <c r="D44" s="15" t="s">
        <v>293</v>
      </c>
      <c r="E44" s="15" t="s">
        <v>284</v>
      </c>
      <c r="F44" s="16" t="s">
        <v>63</v>
      </c>
      <c r="G44" s="8" t="n">
        <f aca="false">IFERROR(INDEX(Familles!$D$5:$D$56,MATCH(F44,Familles!$A$5:$A$56,0)),"")</f>
        <v>360</v>
      </c>
      <c r="H44" s="16"/>
      <c r="I44" s="16"/>
      <c r="J44" s="8" t="n">
        <f aca="false">IF(AND(H44="",G44=""),"",IF(H44&lt;&gt;"",H44,G44)*IF(I44="oui",1+MajHNO,1))</f>
        <v>360</v>
      </c>
      <c r="K44" s="17" t="n">
        <f aca="false">IF(J44="","",J44/MinParPoint)</f>
        <v>24</v>
      </c>
    </row>
    <row r="45" customFormat="false" ht="15" hidden="false" customHeight="false" outlineLevel="0" collapsed="false">
      <c r="A45" s="15" t="s">
        <v>243</v>
      </c>
      <c r="B45" s="15" t="s">
        <v>291</v>
      </c>
      <c r="C45" s="15" t="s">
        <v>294</v>
      </c>
      <c r="D45" s="15" t="s">
        <v>295</v>
      </c>
      <c r="E45" s="15" t="s">
        <v>284</v>
      </c>
      <c r="F45" s="16" t="s">
        <v>63</v>
      </c>
      <c r="G45" s="8" t="n">
        <f aca="false">IFERROR(INDEX(Familles!$D$5:$D$56,MATCH(F45,Familles!$A$5:$A$56,0)),"")</f>
        <v>360</v>
      </c>
      <c r="H45" s="16"/>
      <c r="I45" s="16"/>
      <c r="J45" s="8" t="n">
        <f aca="false">IF(AND(H45="",G45=""),"",IF(H45&lt;&gt;"",H45,G45)*IF(I45="oui",1+MajHNO,1))</f>
        <v>360</v>
      </c>
      <c r="K45" s="17" t="n">
        <f aca="false">IF(J45="","",J45/MinParPoint)</f>
        <v>24</v>
      </c>
    </row>
    <row r="46" customFormat="false" ht="15" hidden="false" customHeight="false" outlineLevel="0" collapsed="false">
      <c r="A46" s="15" t="s">
        <v>243</v>
      </c>
      <c r="B46" s="15" t="s">
        <v>291</v>
      </c>
      <c r="C46" s="15" t="s">
        <v>296</v>
      </c>
      <c r="D46" s="15" t="s">
        <v>297</v>
      </c>
      <c r="E46" s="15" t="s">
        <v>284</v>
      </c>
      <c r="F46" s="16" t="s">
        <v>63</v>
      </c>
      <c r="G46" s="8" t="n">
        <f aca="false">IFERROR(INDEX(Familles!$D$5:$D$56,MATCH(F46,Familles!$A$5:$A$56,0)),"")</f>
        <v>360</v>
      </c>
      <c r="H46" s="16"/>
      <c r="I46" s="16"/>
      <c r="J46" s="8" t="n">
        <f aca="false">IF(AND(H46="",G46=""),"",IF(H46&lt;&gt;"",H46,G46)*IF(I46="oui",1+MajHNO,1))</f>
        <v>360</v>
      </c>
      <c r="K46" s="17" t="n">
        <f aca="false">IF(J46="","",J46/MinParPoint)</f>
        <v>24</v>
      </c>
    </row>
    <row r="47" customFormat="false" ht="15" hidden="false" customHeight="false" outlineLevel="0" collapsed="false">
      <c r="A47" s="15" t="s">
        <v>243</v>
      </c>
      <c r="B47" s="15" t="s">
        <v>291</v>
      </c>
      <c r="C47" s="15" t="s">
        <v>298</v>
      </c>
      <c r="D47" s="15" t="s">
        <v>299</v>
      </c>
      <c r="E47" s="15" t="s">
        <v>284</v>
      </c>
      <c r="F47" s="16" t="s">
        <v>63</v>
      </c>
      <c r="G47" s="8" t="n">
        <f aca="false">IFERROR(INDEX(Familles!$D$5:$D$56,MATCH(F47,Familles!$A$5:$A$56,0)),"")</f>
        <v>360</v>
      </c>
      <c r="H47" s="16"/>
      <c r="I47" s="16"/>
      <c r="J47" s="8" t="n">
        <f aca="false">IF(AND(H47="",G47=""),"",IF(H47&lt;&gt;"",H47,G47)*IF(I47="oui",1+MajHNO,1))</f>
        <v>360</v>
      </c>
      <c r="K47" s="17" t="n">
        <f aca="false">IF(J47="","",J47/MinParPoint)</f>
        <v>24</v>
      </c>
    </row>
    <row r="48" customFormat="false" ht="15" hidden="false" customHeight="false" outlineLevel="0" collapsed="false">
      <c r="A48" s="15" t="s">
        <v>243</v>
      </c>
      <c r="B48" s="15" t="s">
        <v>291</v>
      </c>
      <c r="C48" s="15" t="s">
        <v>300</v>
      </c>
      <c r="D48" s="15" t="s">
        <v>301</v>
      </c>
      <c r="E48" s="15" t="s">
        <v>284</v>
      </c>
      <c r="F48" s="16" t="s">
        <v>67</v>
      </c>
      <c r="G48" s="8" t="n">
        <f aca="false">IFERROR(INDEX(Familles!$D$5:$D$56,MATCH(F48,Familles!$A$5:$A$56,0)),"")</f>
        <v>600</v>
      </c>
      <c r="H48" s="16"/>
      <c r="I48" s="16"/>
      <c r="J48" s="8" t="n">
        <f aca="false">IF(AND(H48="",G48=""),"",IF(H48&lt;&gt;"",H48,G48)*IF(I48="oui",1+MajHNO,1))</f>
        <v>600</v>
      </c>
      <c r="K48" s="17" t="n">
        <f aca="false">IF(J48="","",J48/MinParPoint)</f>
        <v>40</v>
      </c>
    </row>
    <row r="49" customFormat="false" ht="15" hidden="false" customHeight="false" outlineLevel="0" collapsed="false">
      <c r="A49" s="15" t="s">
        <v>243</v>
      </c>
      <c r="B49" s="15" t="s">
        <v>291</v>
      </c>
      <c r="C49" s="15" t="s">
        <v>302</v>
      </c>
      <c r="D49" s="15" t="s">
        <v>303</v>
      </c>
      <c r="E49" s="15" t="s">
        <v>284</v>
      </c>
      <c r="F49" s="16" t="s">
        <v>67</v>
      </c>
      <c r="G49" s="8" t="n">
        <f aca="false">IFERROR(INDEX(Familles!$D$5:$D$56,MATCH(F49,Familles!$A$5:$A$56,0)),"")</f>
        <v>600</v>
      </c>
      <c r="H49" s="16"/>
      <c r="I49" s="16"/>
      <c r="J49" s="8" t="n">
        <f aca="false">IF(AND(H49="",G49=""),"",IF(H49&lt;&gt;"",H49,G49)*IF(I49="oui",1+MajHNO,1))</f>
        <v>600</v>
      </c>
      <c r="K49" s="17" t="n">
        <f aca="false">IF(J49="","",J49/MinParPoint)</f>
        <v>40</v>
      </c>
    </row>
    <row r="50" customFormat="false" ht="15" hidden="false" customHeight="false" outlineLevel="0" collapsed="false">
      <c r="A50" s="15" t="s">
        <v>243</v>
      </c>
      <c r="B50" s="15" t="s">
        <v>291</v>
      </c>
      <c r="C50" s="15" t="s">
        <v>304</v>
      </c>
      <c r="D50" s="15" t="s">
        <v>305</v>
      </c>
      <c r="E50" s="15" t="s">
        <v>284</v>
      </c>
      <c r="F50" s="16" t="s">
        <v>67</v>
      </c>
      <c r="G50" s="8" t="n">
        <f aca="false">IFERROR(INDEX(Familles!$D$5:$D$56,MATCH(F50,Familles!$A$5:$A$56,0)),"")</f>
        <v>600</v>
      </c>
      <c r="H50" s="16"/>
      <c r="I50" s="16"/>
      <c r="J50" s="8" t="n">
        <f aca="false">IF(AND(H50="",G50=""),"",IF(H50&lt;&gt;"",H50,G50)*IF(I50="oui",1+MajHNO,1))</f>
        <v>600</v>
      </c>
      <c r="K50" s="17" t="n">
        <f aca="false">IF(J50="","",J50/MinParPoint)</f>
        <v>40</v>
      </c>
    </row>
    <row r="51" customFormat="false" ht="15" hidden="false" customHeight="false" outlineLevel="0" collapsed="false">
      <c r="A51" s="15" t="s">
        <v>243</v>
      </c>
      <c r="B51" s="15" t="s">
        <v>291</v>
      </c>
      <c r="C51" s="15" t="s">
        <v>306</v>
      </c>
      <c r="D51" s="15" t="s">
        <v>307</v>
      </c>
      <c r="E51" s="15" t="s">
        <v>284</v>
      </c>
      <c r="F51" s="16" t="s">
        <v>67</v>
      </c>
      <c r="G51" s="8" t="n">
        <f aca="false">IFERROR(INDEX(Familles!$D$5:$D$56,MATCH(F51,Familles!$A$5:$A$56,0)),"")</f>
        <v>600</v>
      </c>
      <c r="H51" s="16"/>
      <c r="I51" s="16"/>
      <c r="J51" s="8" t="n">
        <f aca="false">IF(AND(H51="",G51=""),"",IF(H51&lt;&gt;"",H51,G51)*IF(I51="oui",1+MajHNO,1))</f>
        <v>600</v>
      </c>
      <c r="K51" s="17" t="n">
        <f aca="false">IF(J51="","",J51/MinParPoint)</f>
        <v>40</v>
      </c>
    </row>
    <row r="52" customFormat="false" ht="15" hidden="false" customHeight="false" outlineLevel="0" collapsed="false">
      <c r="A52" s="15" t="s">
        <v>243</v>
      </c>
      <c r="B52" s="15" t="s">
        <v>291</v>
      </c>
      <c r="C52" s="15" t="s">
        <v>308</v>
      </c>
      <c r="D52" s="15" t="s">
        <v>309</v>
      </c>
      <c r="E52" s="15" t="s">
        <v>284</v>
      </c>
      <c r="F52" s="16" t="s">
        <v>67</v>
      </c>
      <c r="G52" s="8" t="n">
        <f aca="false">IFERROR(INDEX(Familles!$D$5:$D$56,MATCH(F52,Familles!$A$5:$A$56,0)),"")</f>
        <v>600</v>
      </c>
      <c r="H52" s="16"/>
      <c r="I52" s="16"/>
      <c r="J52" s="8" t="n">
        <f aca="false">IF(AND(H52="",G52=""),"",IF(H52&lt;&gt;"",H52,G52)*IF(I52="oui",1+MajHNO,1))</f>
        <v>600</v>
      </c>
      <c r="K52" s="17" t="n">
        <f aca="false">IF(J52="","",J52/MinParPoint)</f>
        <v>40</v>
      </c>
    </row>
    <row r="53" customFormat="false" ht="15" hidden="false" customHeight="false" outlineLevel="0" collapsed="false">
      <c r="A53" s="15" t="s">
        <v>243</v>
      </c>
      <c r="B53" s="15" t="s">
        <v>291</v>
      </c>
      <c r="C53" s="15" t="s">
        <v>310</v>
      </c>
      <c r="D53" s="15" t="s">
        <v>311</v>
      </c>
      <c r="E53" s="15" t="s">
        <v>284</v>
      </c>
      <c r="F53" s="16" t="s">
        <v>67</v>
      </c>
      <c r="G53" s="8" t="n">
        <f aca="false">IFERROR(INDEX(Familles!$D$5:$D$56,MATCH(F53,Familles!$A$5:$A$56,0)),"")</f>
        <v>600</v>
      </c>
      <c r="H53" s="16"/>
      <c r="I53" s="16"/>
      <c r="J53" s="8" t="n">
        <f aca="false">IF(AND(H53="",G53=""),"",IF(H53&lt;&gt;"",H53,G53)*IF(I53="oui",1+MajHNO,1))</f>
        <v>600</v>
      </c>
      <c r="K53" s="17" t="n">
        <f aca="false">IF(J53="","",J53/MinParPoint)</f>
        <v>40</v>
      </c>
    </row>
    <row r="54" customFormat="false" ht="15" hidden="false" customHeight="false" outlineLevel="0" collapsed="false">
      <c r="A54" s="15" t="s">
        <v>243</v>
      </c>
      <c r="B54" s="15" t="s">
        <v>291</v>
      </c>
      <c r="C54" s="15" t="s">
        <v>312</v>
      </c>
      <c r="D54" s="15" t="s">
        <v>313</v>
      </c>
      <c r="E54" s="15" t="s">
        <v>284</v>
      </c>
      <c r="F54" s="16" t="s">
        <v>67</v>
      </c>
      <c r="G54" s="8" t="n">
        <f aca="false">IFERROR(INDEX(Familles!$D$5:$D$56,MATCH(F54,Familles!$A$5:$A$56,0)),"")</f>
        <v>600</v>
      </c>
      <c r="H54" s="16"/>
      <c r="I54" s="16"/>
      <c r="J54" s="8" t="n">
        <f aca="false">IF(AND(H54="",G54=""),"",IF(H54&lt;&gt;"",H54,G54)*IF(I54="oui",1+MajHNO,1))</f>
        <v>600</v>
      </c>
      <c r="K54" s="17" t="n">
        <f aca="false">IF(J54="","",J54/MinParPoint)</f>
        <v>40</v>
      </c>
    </row>
    <row r="55" customFormat="false" ht="15" hidden="false" customHeight="false" outlineLevel="0" collapsed="false">
      <c r="A55" s="15" t="s">
        <v>243</v>
      </c>
      <c r="B55" s="15" t="s">
        <v>291</v>
      </c>
      <c r="C55" s="15" t="s">
        <v>314</v>
      </c>
      <c r="D55" s="15" t="s">
        <v>315</v>
      </c>
      <c r="E55" s="15" t="s">
        <v>284</v>
      </c>
      <c r="F55" s="16" t="s">
        <v>67</v>
      </c>
      <c r="G55" s="8" t="n">
        <f aca="false">IFERROR(INDEX(Familles!$D$5:$D$56,MATCH(F55,Familles!$A$5:$A$56,0)),"")</f>
        <v>600</v>
      </c>
      <c r="H55" s="16"/>
      <c r="I55" s="16"/>
      <c r="J55" s="8" t="n">
        <f aca="false">IF(AND(H55="",G55=""),"",IF(H55&lt;&gt;"",H55,G55)*IF(I55="oui",1+MajHNO,1))</f>
        <v>600</v>
      </c>
      <c r="K55" s="17" t="n">
        <f aca="false">IF(J55="","",J55/MinParPoint)</f>
        <v>40</v>
      </c>
    </row>
    <row r="56" customFormat="false" ht="15" hidden="false" customHeight="false" outlineLevel="0" collapsed="false">
      <c r="A56" s="15" t="s">
        <v>243</v>
      </c>
      <c r="B56" s="15" t="s">
        <v>291</v>
      </c>
      <c r="C56" s="15" t="s">
        <v>316</v>
      </c>
      <c r="D56" s="15" t="s">
        <v>317</v>
      </c>
      <c r="E56" s="15" t="s">
        <v>284</v>
      </c>
      <c r="F56" s="16" t="s">
        <v>67</v>
      </c>
      <c r="G56" s="8" t="n">
        <f aca="false">IFERROR(INDEX(Familles!$D$5:$D$56,MATCH(F56,Familles!$A$5:$A$56,0)),"")</f>
        <v>600</v>
      </c>
      <c r="H56" s="16"/>
      <c r="I56" s="16"/>
      <c r="J56" s="8" t="n">
        <f aca="false">IF(AND(H56="",G56=""),"",IF(H56&lt;&gt;"",H56,G56)*IF(I56="oui",1+MajHNO,1))</f>
        <v>600</v>
      </c>
      <c r="K56" s="17" t="n">
        <f aca="false">IF(J56="","",J56/MinParPoint)</f>
        <v>40</v>
      </c>
    </row>
    <row r="57" customFormat="false" ht="15" hidden="false" customHeight="false" outlineLevel="0" collapsed="false">
      <c r="A57" s="15" t="s">
        <v>243</v>
      </c>
      <c r="B57" s="15" t="s">
        <v>291</v>
      </c>
      <c r="C57" s="15" t="s">
        <v>318</v>
      </c>
      <c r="D57" s="15" t="s">
        <v>319</v>
      </c>
      <c r="E57" s="15" t="s">
        <v>284</v>
      </c>
      <c r="F57" s="16" t="s">
        <v>67</v>
      </c>
      <c r="G57" s="8" t="n">
        <f aca="false">IFERROR(INDEX(Familles!$D$5:$D$56,MATCH(F57,Familles!$A$5:$A$56,0)),"")</f>
        <v>600</v>
      </c>
      <c r="H57" s="16"/>
      <c r="I57" s="16"/>
      <c r="J57" s="8" t="n">
        <f aca="false">IF(AND(H57="",G57=""),"",IF(H57&lt;&gt;"",H57,G57)*IF(I57="oui",1+MajHNO,1))</f>
        <v>600</v>
      </c>
      <c r="K57" s="17" t="n">
        <f aca="false">IF(J57="","",J57/MinParPoint)</f>
        <v>40</v>
      </c>
    </row>
    <row r="58" customFormat="false" ht="15" hidden="false" customHeight="false" outlineLevel="0" collapsed="false">
      <c r="A58" s="15" t="s">
        <v>243</v>
      </c>
      <c r="B58" s="15" t="s">
        <v>291</v>
      </c>
      <c r="C58" s="15" t="s">
        <v>320</v>
      </c>
      <c r="D58" s="15" t="s">
        <v>321</v>
      </c>
      <c r="E58" s="15" t="s">
        <v>284</v>
      </c>
      <c r="F58" s="16" t="s">
        <v>67</v>
      </c>
      <c r="G58" s="8" t="n">
        <f aca="false">IFERROR(INDEX(Familles!$D$5:$D$56,MATCH(F58,Familles!$A$5:$A$56,0)),"")</f>
        <v>600</v>
      </c>
      <c r="H58" s="16"/>
      <c r="I58" s="16"/>
      <c r="J58" s="8" t="n">
        <f aca="false">IF(AND(H58="",G58=""),"",IF(H58&lt;&gt;"",H58,G58)*IF(I58="oui",1+MajHNO,1))</f>
        <v>600</v>
      </c>
      <c r="K58" s="17" t="n">
        <f aca="false">IF(J58="","",J58/MinParPoint)</f>
        <v>40</v>
      </c>
    </row>
    <row r="59" customFormat="false" ht="15" hidden="false" customHeight="false" outlineLevel="0" collapsed="false">
      <c r="A59" s="15" t="s">
        <v>243</v>
      </c>
      <c r="B59" s="15" t="s">
        <v>291</v>
      </c>
      <c r="C59" s="15" t="s">
        <v>322</v>
      </c>
      <c r="D59" s="15" t="s">
        <v>323</v>
      </c>
      <c r="E59" s="15" t="s">
        <v>284</v>
      </c>
      <c r="F59" s="16" t="s">
        <v>67</v>
      </c>
      <c r="G59" s="8" t="n">
        <f aca="false">IFERROR(INDEX(Familles!$D$5:$D$56,MATCH(F59,Familles!$A$5:$A$56,0)),"")</f>
        <v>600</v>
      </c>
      <c r="H59" s="16"/>
      <c r="I59" s="16"/>
      <c r="J59" s="8" t="n">
        <f aca="false">IF(AND(H59="",G59=""),"",IF(H59&lt;&gt;"",H59,G59)*IF(I59="oui",1+MajHNO,1))</f>
        <v>600</v>
      </c>
      <c r="K59" s="17" t="n">
        <f aca="false">IF(J59="","",J59/MinParPoint)</f>
        <v>40</v>
      </c>
    </row>
    <row r="60" customFormat="false" ht="15" hidden="false" customHeight="false" outlineLevel="0" collapsed="false">
      <c r="A60" s="15" t="s">
        <v>243</v>
      </c>
      <c r="B60" s="15" t="s">
        <v>291</v>
      </c>
      <c r="C60" s="15" t="s">
        <v>324</v>
      </c>
      <c r="D60" s="15" t="s">
        <v>325</v>
      </c>
      <c r="E60" s="15" t="s">
        <v>326</v>
      </c>
      <c r="F60" s="16" t="s">
        <v>83</v>
      </c>
      <c r="G60" s="8" t="n">
        <f aca="false">IFERROR(INDEX(Familles!$D$5:$D$56,MATCH(F60,Familles!$A$5:$A$56,0)),"")</f>
        <v>1</v>
      </c>
      <c r="H60" s="16"/>
      <c r="I60" s="16"/>
      <c r="J60" s="8" t="n">
        <f aca="false">IF(AND(H60="",G60=""),"",IF(H60&lt;&gt;"",H60,G60)*IF(I60="oui",1+MajHNO,1))</f>
        <v>1</v>
      </c>
      <c r="K60" s="17" t="n">
        <f aca="false">IF(J60="","",J60/MinParPoint)</f>
        <v>0.0666666666666667</v>
      </c>
    </row>
    <row r="61" customFormat="false" ht="15" hidden="false" customHeight="false" outlineLevel="0" collapsed="false">
      <c r="A61" s="15" t="s">
        <v>243</v>
      </c>
      <c r="B61" s="15" t="s">
        <v>291</v>
      </c>
      <c r="C61" s="15" t="s">
        <v>327</v>
      </c>
      <c r="D61" s="15" t="s">
        <v>328</v>
      </c>
      <c r="E61" s="15" t="s">
        <v>326</v>
      </c>
      <c r="F61" s="16" t="s">
        <v>83</v>
      </c>
      <c r="G61" s="8" t="n">
        <f aca="false">IFERROR(INDEX(Familles!$D$5:$D$56,MATCH(F61,Familles!$A$5:$A$56,0)),"")</f>
        <v>1</v>
      </c>
      <c r="H61" s="16"/>
      <c r="I61" s="16"/>
      <c r="J61" s="8" t="n">
        <f aca="false">IF(AND(H61="",G61=""),"",IF(H61&lt;&gt;"",H61,G61)*IF(I61="oui",1+MajHNO,1))</f>
        <v>1</v>
      </c>
      <c r="K61" s="17" t="n">
        <f aca="false">IF(J61="","",J61/MinParPoint)</f>
        <v>0.0666666666666667</v>
      </c>
    </row>
    <row r="62" customFormat="false" ht="15" hidden="false" customHeight="false" outlineLevel="0" collapsed="false">
      <c r="A62" s="15" t="s">
        <v>243</v>
      </c>
      <c r="B62" s="15" t="s">
        <v>291</v>
      </c>
      <c r="C62" s="15" t="s">
        <v>329</v>
      </c>
      <c r="D62" s="15" t="s">
        <v>330</v>
      </c>
      <c r="E62" s="15" t="s">
        <v>326</v>
      </c>
      <c r="F62" s="16" t="s">
        <v>83</v>
      </c>
      <c r="G62" s="8" t="n">
        <f aca="false">IFERROR(INDEX(Familles!$D$5:$D$56,MATCH(F62,Familles!$A$5:$A$56,0)),"")</f>
        <v>1</v>
      </c>
      <c r="H62" s="16"/>
      <c r="I62" s="16"/>
      <c r="J62" s="8" t="n">
        <f aca="false">IF(AND(H62="",G62=""),"",IF(H62&lt;&gt;"",H62,G62)*IF(I62="oui",1+MajHNO,1))</f>
        <v>1</v>
      </c>
      <c r="K62" s="17" t="n">
        <f aca="false">IF(J62="","",J62/MinParPoint)</f>
        <v>0.0666666666666667</v>
      </c>
    </row>
    <row r="63" customFormat="false" ht="15" hidden="false" customHeight="false" outlineLevel="0" collapsed="false">
      <c r="A63" s="15" t="s">
        <v>243</v>
      </c>
      <c r="B63" s="15" t="s">
        <v>291</v>
      </c>
      <c r="C63" s="15" t="s">
        <v>331</v>
      </c>
      <c r="D63" s="15" t="s">
        <v>332</v>
      </c>
      <c r="E63" s="15" t="s">
        <v>326</v>
      </c>
      <c r="F63" s="16" t="s">
        <v>83</v>
      </c>
      <c r="G63" s="8" t="n">
        <f aca="false">IFERROR(INDEX(Familles!$D$5:$D$56,MATCH(F63,Familles!$A$5:$A$56,0)),"")</f>
        <v>1</v>
      </c>
      <c r="H63" s="16"/>
      <c r="I63" s="16"/>
      <c r="J63" s="8" t="n">
        <f aca="false">IF(AND(H63="",G63=""),"",IF(H63&lt;&gt;"",H63,G63)*IF(I63="oui",1+MajHNO,1))</f>
        <v>1</v>
      </c>
      <c r="K63" s="17" t="n">
        <f aca="false">IF(J63="","",J63/MinParPoint)</f>
        <v>0.0666666666666667</v>
      </c>
    </row>
    <row r="64" customFormat="false" ht="15" hidden="false" customHeight="false" outlineLevel="0" collapsed="false">
      <c r="A64" s="15" t="s">
        <v>243</v>
      </c>
      <c r="B64" s="15" t="s">
        <v>291</v>
      </c>
      <c r="C64" s="15" t="s">
        <v>333</v>
      </c>
      <c r="D64" s="15" t="s">
        <v>334</v>
      </c>
      <c r="E64" s="15" t="s">
        <v>326</v>
      </c>
      <c r="F64" s="16" t="s">
        <v>177</v>
      </c>
      <c r="G64" s="8" t="n">
        <f aca="false">IFERROR(INDEX(Familles!$D$5:$D$56,MATCH(F64,Familles!$A$5:$A$56,0)),"")</f>
        <v>0</v>
      </c>
      <c r="H64" s="16"/>
      <c r="I64" s="16"/>
      <c r="J64" s="8" t="n">
        <f aca="false">IF(AND(H64="",G64=""),"",IF(H64&lt;&gt;"",H64,G64)*IF(I64="oui",1+MajHNO,1))</f>
        <v>0</v>
      </c>
      <c r="K64" s="17" t="n">
        <f aca="false">IF(J64="","",J64/MinParPoint)</f>
        <v>0</v>
      </c>
    </row>
    <row r="65" customFormat="false" ht="15" hidden="false" customHeight="false" outlineLevel="0" collapsed="false">
      <c r="A65" s="15" t="s">
        <v>243</v>
      </c>
      <c r="B65" s="15" t="s">
        <v>291</v>
      </c>
      <c r="C65" s="15" t="s">
        <v>335</v>
      </c>
      <c r="D65" s="15" t="s">
        <v>336</v>
      </c>
      <c r="E65" s="15" t="s">
        <v>326</v>
      </c>
      <c r="F65" s="16" t="s">
        <v>177</v>
      </c>
      <c r="G65" s="8" t="n">
        <f aca="false">IFERROR(INDEX(Familles!$D$5:$D$56,MATCH(F65,Familles!$A$5:$A$56,0)),"")</f>
        <v>0</v>
      </c>
      <c r="H65" s="16"/>
      <c r="I65" s="16"/>
      <c r="J65" s="8" t="n">
        <f aca="false">IF(AND(H65="",G65=""),"",IF(H65&lt;&gt;"",H65,G65)*IF(I65="oui",1+MajHNO,1))</f>
        <v>0</v>
      </c>
      <c r="K65" s="17" t="n">
        <f aca="false">IF(J65="","",J65/MinParPoint)</f>
        <v>0</v>
      </c>
    </row>
    <row r="66" customFormat="false" ht="15" hidden="false" customHeight="false" outlineLevel="0" collapsed="false">
      <c r="A66" s="15" t="s">
        <v>243</v>
      </c>
      <c r="B66" s="15" t="s">
        <v>291</v>
      </c>
      <c r="C66" s="15" t="s">
        <v>337</v>
      </c>
      <c r="D66" s="15" t="s">
        <v>338</v>
      </c>
      <c r="E66" s="15" t="s">
        <v>326</v>
      </c>
      <c r="F66" s="16" t="s">
        <v>177</v>
      </c>
      <c r="G66" s="8" t="n">
        <f aca="false">IFERROR(INDEX(Familles!$D$5:$D$56,MATCH(F66,Familles!$A$5:$A$56,0)),"")</f>
        <v>0</v>
      </c>
      <c r="H66" s="16"/>
      <c r="I66" s="16"/>
      <c r="J66" s="8" t="n">
        <f aca="false">IF(AND(H66="",G66=""),"",IF(H66&lt;&gt;"",H66,G66)*IF(I66="oui",1+MajHNO,1))</f>
        <v>0</v>
      </c>
      <c r="K66" s="17" t="n">
        <f aca="false">IF(J66="","",J66/MinParPoint)</f>
        <v>0</v>
      </c>
    </row>
    <row r="67" customFormat="false" ht="15" hidden="false" customHeight="false" outlineLevel="0" collapsed="false">
      <c r="A67" s="15" t="s">
        <v>243</v>
      </c>
      <c r="B67" s="15" t="s">
        <v>291</v>
      </c>
      <c r="C67" s="15" t="s">
        <v>339</v>
      </c>
      <c r="D67" s="15" t="s">
        <v>340</v>
      </c>
      <c r="E67" s="15" t="s">
        <v>326</v>
      </c>
      <c r="F67" s="16" t="s">
        <v>177</v>
      </c>
      <c r="G67" s="8" t="n">
        <f aca="false">IFERROR(INDEX(Familles!$D$5:$D$56,MATCH(F67,Familles!$A$5:$A$56,0)),"")</f>
        <v>0</v>
      </c>
      <c r="H67" s="16"/>
      <c r="I67" s="16"/>
      <c r="J67" s="8" t="n">
        <f aca="false">IF(AND(H67="",G67=""),"",IF(H67&lt;&gt;"",H67,G67)*IF(I67="oui",1+MajHNO,1))</f>
        <v>0</v>
      </c>
      <c r="K67" s="17" t="n">
        <f aca="false">IF(J67="","",J67/MinParPoint)</f>
        <v>0</v>
      </c>
    </row>
    <row r="68" customFormat="false" ht="15" hidden="false" customHeight="false" outlineLevel="0" collapsed="false">
      <c r="A68" s="15" t="s">
        <v>243</v>
      </c>
      <c r="B68" s="15" t="s">
        <v>291</v>
      </c>
      <c r="C68" s="15" t="s">
        <v>341</v>
      </c>
      <c r="D68" s="15" t="s">
        <v>342</v>
      </c>
      <c r="E68" s="15" t="s">
        <v>326</v>
      </c>
      <c r="F68" s="16" t="s">
        <v>177</v>
      </c>
      <c r="G68" s="8" t="n">
        <f aca="false">IFERROR(INDEX(Familles!$D$5:$D$56,MATCH(F68,Familles!$A$5:$A$56,0)),"")</f>
        <v>0</v>
      </c>
      <c r="H68" s="16"/>
      <c r="I68" s="16"/>
      <c r="J68" s="8" t="n">
        <f aca="false">IF(AND(H68="",G68=""),"",IF(H68&lt;&gt;"",H68,G68)*IF(I68="oui",1+MajHNO,1))</f>
        <v>0</v>
      </c>
      <c r="K68" s="17" t="n">
        <f aca="false">IF(J68="","",J68/MinParPoint)</f>
        <v>0</v>
      </c>
    </row>
    <row r="69" customFormat="false" ht="15" hidden="false" customHeight="false" outlineLevel="0" collapsed="false">
      <c r="A69" s="15" t="s">
        <v>243</v>
      </c>
      <c r="B69" s="15" t="s">
        <v>291</v>
      </c>
      <c r="C69" s="15" t="s">
        <v>343</v>
      </c>
      <c r="D69" s="15" t="s">
        <v>344</v>
      </c>
      <c r="E69" s="15" t="s">
        <v>326</v>
      </c>
      <c r="F69" s="16" t="s">
        <v>177</v>
      </c>
      <c r="G69" s="8" t="n">
        <f aca="false">IFERROR(INDEX(Familles!$D$5:$D$56,MATCH(F69,Familles!$A$5:$A$56,0)),"")</f>
        <v>0</v>
      </c>
      <c r="H69" s="16"/>
      <c r="I69" s="16"/>
      <c r="J69" s="8" t="n">
        <f aca="false">IF(AND(H69="",G69=""),"",IF(H69&lt;&gt;"",H69,G69)*IF(I69="oui",1+MajHNO,1))</f>
        <v>0</v>
      </c>
      <c r="K69" s="17" t="n">
        <f aca="false">IF(J69="","",J69/MinParPoint)</f>
        <v>0</v>
      </c>
    </row>
    <row r="70" customFormat="false" ht="15" hidden="false" customHeight="false" outlineLevel="0" collapsed="false">
      <c r="A70" s="15" t="s">
        <v>243</v>
      </c>
      <c r="B70" s="15" t="s">
        <v>291</v>
      </c>
      <c r="C70" s="15" t="s">
        <v>345</v>
      </c>
      <c r="D70" s="15" t="s">
        <v>346</v>
      </c>
      <c r="E70" s="15" t="s">
        <v>326</v>
      </c>
      <c r="F70" s="16" t="s">
        <v>177</v>
      </c>
      <c r="G70" s="8" t="n">
        <f aca="false">IFERROR(INDEX(Familles!$D$5:$D$56,MATCH(F70,Familles!$A$5:$A$56,0)),"")</f>
        <v>0</v>
      </c>
      <c r="H70" s="16"/>
      <c r="I70" s="16"/>
      <c r="J70" s="8" t="n">
        <f aca="false">IF(AND(H70="",G70=""),"",IF(H70&lt;&gt;"",H70,G70)*IF(I70="oui",1+MajHNO,1))</f>
        <v>0</v>
      </c>
      <c r="K70" s="17" t="n">
        <f aca="false">IF(J70="","",J70/MinParPoint)</f>
        <v>0</v>
      </c>
    </row>
    <row r="71" customFormat="false" ht="15" hidden="false" customHeight="false" outlineLevel="0" collapsed="false">
      <c r="A71" s="15" t="s">
        <v>243</v>
      </c>
      <c r="B71" s="15" t="s">
        <v>291</v>
      </c>
      <c r="C71" s="15" t="s">
        <v>347</v>
      </c>
      <c r="D71" s="15" t="s">
        <v>348</v>
      </c>
      <c r="E71" s="15" t="s">
        <v>326</v>
      </c>
      <c r="F71" s="16" t="s">
        <v>177</v>
      </c>
      <c r="G71" s="8" t="n">
        <f aca="false">IFERROR(INDEX(Familles!$D$5:$D$56,MATCH(F71,Familles!$A$5:$A$56,0)),"")</f>
        <v>0</v>
      </c>
      <c r="H71" s="16"/>
      <c r="I71" s="16"/>
      <c r="J71" s="8" t="n">
        <f aca="false">IF(AND(H71="",G71=""),"",IF(H71&lt;&gt;"",H71,G71)*IF(I71="oui",1+MajHNO,1))</f>
        <v>0</v>
      </c>
      <c r="K71" s="17" t="n">
        <f aca="false">IF(J71="","",J71/MinParPoint)</f>
        <v>0</v>
      </c>
    </row>
    <row r="72" customFormat="false" ht="15" hidden="false" customHeight="false" outlineLevel="0" collapsed="false">
      <c r="A72" s="15" t="s">
        <v>243</v>
      </c>
      <c r="B72" s="15" t="s">
        <v>291</v>
      </c>
      <c r="C72" s="15" t="s">
        <v>349</v>
      </c>
      <c r="D72" s="15" t="s">
        <v>350</v>
      </c>
      <c r="E72" s="15" t="s">
        <v>326</v>
      </c>
      <c r="F72" s="16" t="s">
        <v>177</v>
      </c>
      <c r="G72" s="8" t="n">
        <f aca="false">IFERROR(INDEX(Familles!$D$5:$D$56,MATCH(F72,Familles!$A$5:$A$56,0)),"")</f>
        <v>0</v>
      </c>
      <c r="H72" s="16"/>
      <c r="I72" s="16"/>
      <c r="J72" s="8" t="n">
        <f aca="false">IF(AND(H72="",G72=""),"",IF(H72&lt;&gt;"",H72,G72)*IF(I72="oui",1+MajHNO,1))</f>
        <v>0</v>
      </c>
      <c r="K72" s="17" t="n">
        <f aca="false">IF(J72="","",J72/MinParPoint)</f>
        <v>0</v>
      </c>
    </row>
    <row r="73" customFormat="false" ht="15" hidden="false" customHeight="false" outlineLevel="0" collapsed="false">
      <c r="A73" s="15" t="s">
        <v>243</v>
      </c>
      <c r="B73" s="15" t="s">
        <v>291</v>
      </c>
      <c r="C73" s="15" t="s">
        <v>351</v>
      </c>
      <c r="D73" s="15" t="s">
        <v>352</v>
      </c>
      <c r="E73" s="15" t="s">
        <v>284</v>
      </c>
      <c r="F73" s="16" t="s">
        <v>76</v>
      </c>
      <c r="G73" s="8" t="n">
        <f aca="false">IFERROR(INDEX(Familles!$D$5:$D$56,MATCH(F73,Familles!$A$5:$A$56,0)),"")</f>
        <v>120</v>
      </c>
      <c r="H73" s="16"/>
      <c r="I73" s="16"/>
      <c r="J73" s="8" t="n">
        <f aca="false">IF(AND(H73="",G73=""),"",IF(H73&lt;&gt;"",H73,G73)*IF(I73="oui",1+MajHNO,1))</f>
        <v>120</v>
      </c>
      <c r="K73" s="17" t="n">
        <f aca="false">IF(J73="","",J73/MinParPoint)</f>
        <v>8</v>
      </c>
    </row>
    <row r="74" customFormat="false" ht="15" hidden="false" customHeight="false" outlineLevel="0" collapsed="false">
      <c r="A74" s="15" t="s">
        <v>243</v>
      </c>
      <c r="B74" s="15" t="s">
        <v>291</v>
      </c>
      <c r="C74" s="15" t="s">
        <v>353</v>
      </c>
      <c r="D74" s="15" t="s">
        <v>354</v>
      </c>
      <c r="E74" s="15" t="s">
        <v>284</v>
      </c>
      <c r="F74" s="16" t="s">
        <v>73</v>
      </c>
      <c r="G74" s="8" t="n">
        <f aca="false">IFERROR(INDEX(Familles!$D$5:$D$56,MATCH(F74,Familles!$A$5:$A$56,0)),"")</f>
        <v>60</v>
      </c>
      <c r="H74" s="16"/>
      <c r="I74" s="16"/>
      <c r="J74" s="8" t="n">
        <f aca="false">IF(AND(H74="",G74=""),"",IF(H74&lt;&gt;"",H74,G74)*IF(I74="oui",1+MajHNO,1))</f>
        <v>60</v>
      </c>
      <c r="K74" s="17" t="n">
        <f aca="false">IF(J74="","",J74/MinParPoint)</f>
        <v>4</v>
      </c>
    </row>
    <row r="75" customFormat="false" ht="15" hidden="false" customHeight="false" outlineLevel="0" collapsed="false">
      <c r="A75" s="15" t="s">
        <v>243</v>
      </c>
      <c r="B75" s="15" t="s">
        <v>291</v>
      </c>
      <c r="C75" s="15" t="s">
        <v>355</v>
      </c>
      <c r="D75" s="15" t="s">
        <v>356</v>
      </c>
      <c r="E75" s="15" t="s">
        <v>284</v>
      </c>
      <c r="F75" s="16" t="s">
        <v>73</v>
      </c>
      <c r="G75" s="8" t="n">
        <f aca="false">IFERROR(INDEX(Familles!$D$5:$D$56,MATCH(F75,Familles!$A$5:$A$56,0)),"")</f>
        <v>60</v>
      </c>
      <c r="H75" s="16"/>
      <c r="I75" s="16"/>
      <c r="J75" s="8" t="n">
        <f aca="false">IF(AND(H75="",G75=""),"",IF(H75&lt;&gt;"",H75,G75)*IF(I75="oui",1+MajHNO,1))</f>
        <v>60</v>
      </c>
      <c r="K75" s="17" t="n">
        <f aca="false">IF(J75="","",J75/MinParPoint)</f>
        <v>4</v>
      </c>
    </row>
    <row r="76" customFormat="false" ht="15" hidden="false" customHeight="false" outlineLevel="0" collapsed="false">
      <c r="A76" s="15" t="s">
        <v>243</v>
      </c>
      <c r="B76" s="15" t="s">
        <v>291</v>
      </c>
      <c r="C76" s="15" t="s">
        <v>357</v>
      </c>
      <c r="D76" s="15" t="s">
        <v>358</v>
      </c>
      <c r="E76" s="15" t="s">
        <v>284</v>
      </c>
      <c r="F76" s="16" t="s">
        <v>42</v>
      </c>
      <c r="G76" s="8" t="n">
        <f aca="false">IFERROR(INDEX(Familles!$D$5:$D$56,MATCH(F76,Familles!$A$5:$A$56,0)),"")</f>
        <v>60</v>
      </c>
      <c r="H76" s="16"/>
      <c r="I76" s="16"/>
      <c r="J76" s="8" t="n">
        <f aca="false">IF(AND(H76="",G76=""),"",IF(H76&lt;&gt;"",H76,G76)*IF(I76="oui",1+MajHNO,1))</f>
        <v>60</v>
      </c>
      <c r="K76" s="17" t="n">
        <f aca="false">IF(J76="","",J76/MinParPoint)</f>
        <v>4</v>
      </c>
    </row>
    <row r="77" customFormat="false" ht="15" hidden="false" customHeight="false" outlineLevel="0" collapsed="false">
      <c r="A77" s="15" t="s">
        <v>243</v>
      </c>
      <c r="B77" s="15" t="s">
        <v>291</v>
      </c>
      <c r="C77" s="15" t="s">
        <v>359</v>
      </c>
      <c r="D77" s="15" t="s">
        <v>360</v>
      </c>
      <c r="E77" s="15" t="s">
        <v>284</v>
      </c>
      <c r="F77" s="16" t="s">
        <v>73</v>
      </c>
      <c r="G77" s="8" t="n">
        <f aca="false">IFERROR(INDEX(Familles!$D$5:$D$56,MATCH(F77,Familles!$A$5:$A$56,0)),"")</f>
        <v>60</v>
      </c>
      <c r="H77" s="16"/>
      <c r="I77" s="16"/>
      <c r="J77" s="8" t="n">
        <f aca="false">IF(AND(H77="",G77=""),"",IF(H77&lt;&gt;"",H77,G77)*IF(I77="oui",1+MajHNO,1))</f>
        <v>60</v>
      </c>
      <c r="K77" s="17" t="n">
        <f aca="false">IF(J77="","",J77/MinParPoint)</f>
        <v>4</v>
      </c>
    </row>
    <row r="78" customFormat="false" ht="15" hidden="false" customHeight="false" outlineLevel="0" collapsed="false">
      <c r="A78" s="15" t="s">
        <v>243</v>
      </c>
      <c r="B78" s="15" t="s">
        <v>291</v>
      </c>
      <c r="C78" s="15" t="s">
        <v>361</v>
      </c>
      <c r="D78" s="15" t="s">
        <v>362</v>
      </c>
      <c r="E78" s="15" t="s">
        <v>363</v>
      </c>
      <c r="F78" s="16" t="s">
        <v>114</v>
      </c>
      <c r="G78" s="8" t="n">
        <f aca="false">IFERROR(INDEX(Familles!$D$5:$D$56,MATCH(F78,Familles!$A$5:$A$56,0)),"")</f>
        <v>120</v>
      </c>
      <c r="H78" s="16"/>
      <c r="I78" s="16"/>
      <c r="J78" s="8" t="n">
        <f aca="false">IF(AND(H78="",G78=""),"",IF(H78&lt;&gt;"",H78,G78)*IF(I78="oui",1+MajHNO,1))</f>
        <v>120</v>
      </c>
      <c r="K78" s="17" t="n">
        <f aca="false">IF(J78="","",J78/MinParPoint)</f>
        <v>8</v>
      </c>
    </row>
    <row r="79" customFormat="false" ht="15" hidden="false" customHeight="false" outlineLevel="0" collapsed="false">
      <c r="A79" s="15" t="s">
        <v>243</v>
      </c>
      <c r="B79" s="15" t="s">
        <v>291</v>
      </c>
      <c r="C79" s="15" t="s">
        <v>364</v>
      </c>
      <c r="D79" s="15" t="s">
        <v>365</v>
      </c>
      <c r="E79" s="15" t="s">
        <v>363</v>
      </c>
      <c r="F79" s="16" t="s">
        <v>114</v>
      </c>
      <c r="G79" s="8" t="n">
        <f aca="false">IFERROR(INDEX(Familles!$D$5:$D$56,MATCH(F79,Familles!$A$5:$A$56,0)),"")</f>
        <v>120</v>
      </c>
      <c r="H79" s="16"/>
      <c r="I79" s="16"/>
      <c r="J79" s="8" t="n">
        <f aca="false">IF(AND(H79="",G79=""),"",IF(H79&lt;&gt;"",H79,G79)*IF(I79="oui",1+MajHNO,1))</f>
        <v>120</v>
      </c>
      <c r="K79" s="17" t="n">
        <f aca="false">IF(J79="","",J79/MinParPoint)</f>
        <v>8</v>
      </c>
    </row>
    <row r="80" customFormat="false" ht="15" hidden="false" customHeight="false" outlineLevel="0" collapsed="false">
      <c r="A80" s="15" t="s">
        <v>243</v>
      </c>
      <c r="B80" s="15" t="s">
        <v>291</v>
      </c>
      <c r="C80" s="15" t="s">
        <v>366</v>
      </c>
      <c r="D80" s="15" t="s">
        <v>367</v>
      </c>
      <c r="E80" s="15" t="s">
        <v>284</v>
      </c>
      <c r="F80" s="16" t="s">
        <v>63</v>
      </c>
      <c r="G80" s="8" t="n">
        <f aca="false">IFERROR(INDEX(Familles!$D$5:$D$56,MATCH(F80,Familles!$A$5:$A$56,0)),"")</f>
        <v>360</v>
      </c>
      <c r="H80" s="16"/>
      <c r="I80" s="16"/>
      <c r="J80" s="8" t="n">
        <f aca="false">IF(AND(H80="",G80=""),"",IF(H80&lt;&gt;"",H80,G80)*IF(I80="oui",1+MajHNO,1))</f>
        <v>360</v>
      </c>
      <c r="K80" s="17" t="n">
        <f aca="false">IF(J80="","",J80/MinParPoint)</f>
        <v>24</v>
      </c>
    </row>
    <row r="81" customFormat="false" ht="15" hidden="false" customHeight="false" outlineLevel="0" collapsed="false">
      <c r="A81" s="15" t="s">
        <v>243</v>
      </c>
      <c r="B81" s="15" t="s">
        <v>291</v>
      </c>
      <c r="C81" s="15" t="s">
        <v>368</v>
      </c>
      <c r="D81" s="15" t="s">
        <v>369</v>
      </c>
      <c r="E81" s="15" t="s">
        <v>284</v>
      </c>
      <c r="F81" s="16" t="s">
        <v>177</v>
      </c>
      <c r="G81" s="8" t="n">
        <f aca="false">IFERROR(INDEX(Familles!$D$5:$D$56,MATCH(F81,Familles!$A$5:$A$56,0)),"")</f>
        <v>0</v>
      </c>
      <c r="H81" s="16"/>
      <c r="I81" s="16"/>
      <c r="J81" s="8" t="n">
        <f aca="false">IF(AND(H81="",G81=""),"",IF(H81&lt;&gt;"",H81,G81)*IF(I81="oui",1+MajHNO,1))</f>
        <v>0</v>
      </c>
      <c r="K81" s="17" t="n">
        <f aca="false">IF(J81="","",J81/MinParPoint)</f>
        <v>0</v>
      </c>
    </row>
    <row r="82" customFormat="false" ht="15" hidden="false" customHeight="false" outlineLevel="0" collapsed="false">
      <c r="A82" s="15" t="s">
        <v>243</v>
      </c>
      <c r="B82" s="15" t="s">
        <v>291</v>
      </c>
      <c r="C82" s="15" t="s">
        <v>370</v>
      </c>
      <c r="D82" s="15" t="s">
        <v>371</v>
      </c>
      <c r="E82" s="15" t="s">
        <v>363</v>
      </c>
      <c r="F82" s="16" t="s">
        <v>141</v>
      </c>
      <c r="G82" s="8" t="n">
        <f aca="false">IFERROR(INDEX(Familles!$D$5:$D$56,MATCH(F82,Familles!$A$5:$A$56,0)),"")</f>
        <v>15</v>
      </c>
      <c r="H82" s="16"/>
      <c r="I82" s="16"/>
      <c r="J82" s="8" t="n">
        <f aca="false">IF(AND(H82="",G82=""),"",IF(H82&lt;&gt;"",H82,G82)*IF(I82="oui",1+MajHNO,1))</f>
        <v>15</v>
      </c>
      <c r="K82" s="17" t="n">
        <f aca="false">IF(J82="","",J82/MinParPoint)</f>
        <v>1</v>
      </c>
    </row>
    <row r="83" customFormat="false" ht="15" hidden="false" customHeight="false" outlineLevel="0" collapsed="false">
      <c r="A83" s="15" t="s">
        <v>243</v>
      </c>
      <c r="B83" s="15" t="s">
        <v>291</v>
      </c>
      <c r="C83" s="15" t="s">
        <v>372</v>
      </c>
      <c r="D83" s="15" t="s">
        <v>373</v>
      </c>
      <c r="E83" s="15" t="s">
        <v>374</v>
      </c>
      <c r="F83" s="16" t="s">
        <v>70</v>
      </c>
      <c r="G83" s="8" t="n">
        <f aca="false">IFERROR(INDEX(Familles!$D$5:$D$56,MATCH(F83,Familles!$A$5:$A$56,0)),"")</f>
        <v>180</v>
      </c>
      <c r="H83" s="16"/>
      <c r="I83" s="16"/>
      <c r="J83" s="8" t="n">
        <f aca="false">IF(AND(H83="",G83=""),"",IF(H83&lt;&gt;"",H83,G83)*IF(I83="oui",1+MajHNO,1))</f>
        <v>180</v>
      </c>
      <c r="K83" s="17" t="n">
        <f aca="false">IF(J83="","",J83/MinParPoint)</f>
        <v>12</v>
      </c>
    </row>
    <row r="84" customFormat="false" ht="15" hidden="false" customHeight="false" outlineLevel="0" collapsed="false">
      <c r="A84" s="15" t="s">
        <v>243</v>
      </c>
      <c r="B84" s="15" t="s">
        <v>291</v>
      </c>
      <c r="C84" s="15" t="s">
        <v>375</v>
      </c>
      <c r="D84" s="15" t="s">
        <v>376</v>
      </c>
      <c r="E84" s="15" t="s">
        <v>374</v>
      </c>
      <c r="F84" s="16" t="s">
        <v>70</v>
      </c>
      <c r="G84" s="8" t="n">
        <f aca="false">IFERROR(INDEX(Familles!$D$5:$D$56,MATCH(F84,Familles!$A$5:$A$56,0)),"")</f>
        <v>180</v>
      </c>
      <c r="H84" s="16"/>
      <c r="I84" s="16"/>
      <c r="J84" s="8" t="n">
        <f aca="false">IF(AND(H84="",G84=""),"",IF(H84&lt;&gt;"",H84,G84)*IF(I84="oui",1+MajHNO,1))</f>
        <v>180</v>
      </c>
      <c r="K84" s="17" t="n">
        <f aca="false">IF(J84="","",J84/MinParPoint)</f>
        <v>12</v>
      </c>
    </row>
    <row r="85" customFormat="false" ht="15" hidden="false" customHeight="false" outlineLevel="0" collapsed="false">
      <c r="A85" s="15" t="s">
        <v>243</v>
      </c>
      <c r="B85" s="15" t="s">
        <v>291</v>
      </c>
      <c r="C85" s="15" t="s">
        <v>377</v>
      </c>
      <c r="D85" s="15" t="s">
        <v>378</v>
      </c>
      <c r="E85" s="15" t="s">
        <v>374</v>
      </c>
      <c r="F85" s="16" t="s">
        <v>177</v>
      </c>
      <c r="G85" s="8" t="n">
        <f aca="false">IFERROR(INDEX(Familles!$D$5:$D$56,MATCH(F85,Familles!$A$5:$A$56,0)),"")</f>
        <v>0</v>
      </c>
      <c r="H85" s="16"/>
      <c r="I85" s="16"/>
      <c r="J85" s="8" t="n">
        <f aca="false">IF(AND(H85="",G85=""),"",IF(H85&lt;&gt;"",H85,G85)*IF(I85="oui",1+MajHNO,1))</f>
        <v>0</v>
      </c>
      <c r="K85" s="17" t="n">
        <f aca="false">IF(J85="","",J85/MinParPoint)</f>
        <v>0</v>
      </c>
    </row>
    <row r="86" customFormat="false" ht="15" hidden="false" customHeight="false" outlineLevel="0" collapsed="false">
      <c r="A86" s="15" t="s">
        <v>243</v>
      </c>
      <c r="B86" s="15" t="s">
        <v>291</v>
      </c>
      <c r="C86" s="15" t="s">
        <v>379</v>
      </c>
      <c r="D86" s="15" t="s">
        <v>380</v>
      </c>
      <c r="E86" s="15" t="s">
        <v>374</v>
      </c>
      <c r="F86" s="16" t="s">
        <v>70</v>
      </c>
      <c r="G86" s="8" t="n">
        <f aca="false">IFERROR(INDEX(Familles!$D$5:$D$56,MATCH(F86,Familles!$A$5:$A$56,0)),"")</f>
        <v>180</v>
      </c>
      <c r="H86" s="16"/>
      <c r="I86" s="16"/>
      <c r="J86" s="8" t="n">
        <f aca="false">IF(AND(H86="",G86=""),"",IF(H86&lt;&gt;"",H86,G86)*IF(I86="oui",1+MajHNO,1))</f>
        <v>180</v>
      </c>
      <c r="K86" s="17" t="n">
        <f aca="false">IF(J86="","",J86/MinParPoint)</f>
        <v>12</v>
      </c>
    </row>
    <row r="87" customFormat="false" ht="15" hidden="false" customHeight="false" outlineLevel="0" collapsed="false">
      <c r="A87" s="15" t="s">
        <v>243</v>
      </c>
      <c r="B87" s="15" t="s">
        <v>291</v>
      </c>
      <c r="C87" s="15" t="s">
        <v>381</v>
      </c>
      <c r="D87" s="15" t="s">
        <v>382</v>
      </c>
      <c r="E87" s="15" t="s">
        <v>374</v>
      </c>
      <c r="F87" s="16" t="s">
        <v>70</v>
      </c>
      <c r="G87" s="8" t="n">
        <f aca="false">IFERROR(INDEX(Familles!$D$5:$D$56,MATCH(F87,Familles!$A$5:$A$56,0)),"")</f>
        <v>180</v>
      </c>
      <c r="H87" s="16"/>
      <c r="I87" s="16"/>
      <c r="J87" s="8" t="n">
        <f aca="false">IF(AND(H87="",G87=""),"",IF(H87&lt;&gt;"",H87,G87)*IF(I87="oui",1+MajHNO,1))</f>
        <v>180</v>
      </c>
      <c r="K87" s="17" t="n">
        <f aca="false">IF(J87="","",J87/MinParPoint)</f>
        <v>12</v>
      </c>
    </row>
    <row r="88" customFormat="false" ht="15" hidden="false" customHeight="false" outlineLevel="0" collapsed="false">
      <c r="A88" s="15" t="s">
        <v>243</v>
      </c>
      <c r="B88" s="15" t="s">
        <v>291</v>
      </c>
      <c r="C88" s="15" t="s">
        <v>383</v>
      </c>
      <c r="D88" s="15" t="s">
        <v>384</v>
      </c>
      <c r="E88" s="15" t="s">
        <v>374</v>
      </c>
      <c r="F88" s="16" t="s">
        <v>73</v>
      </c>
      <c r="G88" s="8" t="n">
        <f aca="false">IFERROR(INDEX(Familles!$D$5:$D$56,MATCH(F88,Familles!$A$5:$A$56,0)),"")</f>
        <v>60</v>
      </c>
      <c r="H88" s="16"/>
      <c r="I88" s="16"/>
      <c r="J88" s="8" t="n">
        <f aca="false">IF(AND(H88="",G88=""),"",IF(H88&lt;&gt;"",H88,G88)*IF(I88="oui",1+MajHNO,1))</f>
        <v>60</v>
      </c>
      <c r="K88" s="17" t="n">
        <f aca="false">IF(J88="","",J88/MinParPoint)</f>
        <v>4</v>
      </c>
    </row>
    <row r="89" customFormat="false" ht="15" hidden="false" customHeight="false" outlineLevel="0" collapsed="false">
      <c r="A89" s="15" t="s">
        <v>243</v>
      </c>
      <c r="B89" s="15" t="s">
        <v>291</v>
      </c>
      <c r="C89" s="15" t="s">
        <v>385</v>
      </c>
      <c r="D89" s="15" t="s">
        <v>386</v>
      </c>
      <c r="E89" s="15" t="s">
        <v>374</v>
      </c>
      <c r="F89" s="16" t="s">
        <v>73</v>
      </c>
      <c r="G89" s="8" t="n">
        <f aca="false">IFERROR(INDEX(Familles!$D$5:$D$56,MATCH(F89,Familles!$A$5:$A$56,0)),"")</f>
        <v>60</v>
      </c>
      <c r="H89" s="16"/>
      <c r="I89" s="16"/>
      <c r="J89" s="8" t="n">
        <f aca="false">IF(AND(H89="",G89=""),"",IF(H89&lt;&gt;"",H89,G89)*IF(I89="oui",1+MajHNO,1))</f>
        <v>60</v>
      </c>
      <c r="K89" s="17" t="n">
        <f aca="false">IF(J89="","",J89/MinParPoint)</f>
        <v>4</v>
      </c>
    </row>
    <row r="90" customFormat="false" ht="15" hidden="false" customHeight="false" outlineLevel="0" collapsed="false">
      <c r="A90" s="15" t="s">
        <v>243</v>
      </c>
      <c r="B90" s="15" t="s">
        <v>291</v>
      </c>
      <c r="C90" s="15" t="s">
        <v>387</v>
      </c>
      <c r="D90" s="15" t="s">
        <v>388</v>
      </c>
      <c r="E90" s="15" t="s">
        <v>374</v>
      </c>
      <c r="F90" s="16" t="s">
        <v>76</v>
      </c>
      <c r="G90" s="8" t="n">
        <f aca="false">IFERROR(INDEX(Familles!$D$5:$D$56,MATCH(F90,Familles!$A$5:$A$56,0)),"")</f>
        <v>120</v>
      </c>
      <c r="H90" s="16"/>
      <c r="I90" s="16"/>
      <c r="J90" s="8" t="n">
        <f aca="false">IF(AND(H90="",G90=""),"",IF(H90&lt;&gt;"",H90,G90)*IF(I90="oui",1+MajHNO,1))</f>
        <v>120</v>
      </c>
      <c r="K90" s="17" t="n">
        <f aca="false">IF(J90="","",J90/MinParPoint)</f>
        <v>8</v>
      </c>
    </row>
    <row r="91" customFormat="false" ht="15" hidden="false" customHeight="false" outlineLevel="0" collapsed="false">
      <c r="A91" s="15" t="s">
        <v>243</v>
      </c>
      <c r="B91" s="15" t="s">
        <v>291</v>
      </c>
      <c r="C91" s="15" t="s">
        <v>389</v>
      </c>
      <c r="D91" s="15" t="s">
        <v>390</v>
      </c>
      <c r="E91" s="15" t="s">
        <v>363</v>
      </c>
      <c r="F91" s="16" t="s">
        <v>79</v>
      </c>
      <c r="G91" s="8" t="n">
        <f aca="false">IFERROR(INDEX(Familles!$D$5:$D$56,MATCH(F91,Familles!$A$5:$A$56,0)),"")</f>
        <v>90</v>
      </c>
      <c r="H91" s="16"/>
      <c r="I91" s="16"/>
      <c r="J91" s="8" t="n">
        <f aca="false">IF(AND(H91="",G91=""),"",IF(H91&lt;&gt;"",H91,G91)*IF(I91="oui",1+MajHNO,1))</f>
        <v>90</v>
      </c>
      <c r="K91" s="17" t="n">
        <f aca="false">IF(J91="","",J91/MinParPoint)</f>
        <v>6</v>
      </c>
    </row>
    <row r="92" customFormat="false" ht="15" hidden="false" customHeight="false" outlineLevel="0" collapsed="false">
      <c r="A92" s="15" t="s">
        <v>243</v>
      </c>
      <c r="B92" s="15" t="s">
        <v>291</v>
      </c>
      <c r="C92" s="15" t="s">
        <v>391</v>
      </c>
      <c r="D92" s="15" t="s">
        <v>392</v>
      </c>
      <c r="E92" s="15" t="s">
        <v>363</v>
      </c>
      <c r="F92" s="16" t="s">
        <v>79</v>
      </c>
      <c r="G92" s="8" t="n">
        <f aca="false">IFERROR(INDEX(Familles!$D$5:$D$56,MATCH(F92,Familles!$A$5:$A$56,0)),"")</f>
        <v>90</v>
      </c>
      <c r="H92" s="16"/>
      <c r="I92" s="16"/>
      <c r="J92" s="8" t="n">
        <f aca="false">IF(AND(H92="",G92=""),"",IF(H92&lt;&gt;"",H92,G92)*IF(I92="oui",1+MajHNO,1))</f>
        <v>90</v>
      </c>
      <c r="K92" s="17" t="n">
        <f aca="false">IF(J92="","",J92/MinParPoint)</f>
        <v>6</v>
      </c>
    </row>
    <row r="93" customFormat="false" ht="15" hidden="false" customHeight="false" outlineLevel="0" collapsed="false">
      <c r="A93" s="15" t="s">
        <v>243</v>
      </c>
      <c r="B93" s="15" t="s">
        <v>291</v>
      </c>
      <c r="C93" s="15" t="s">
        <v>393</v>
      </c>
      <c r="D93" s="15" t="s">
        <v>394</v>
      </c>
      <c r="E93" s="15" t="s">
        <v>363</v>
      </c>
      <c r="F93" s="16" t="s">
        <v>79</v>
      </c>
      <c r="G93" s="8" t="n">
        <f aca="false">IFERROR(INDEX(Familles!$D$5:$D$56,MATCH(F93,Familles!$A$5:$A$56,0)),"")</f>
        <v>90</v>
      </c>
      <c r="H93" s="16"/>
      <c r="I93" s="16"/>
      <c r="J93" s="8" t="n">
        <f aca="false">IF(AND(H93="",G93=""),"",IF(H93&lt;&gt;"",H93,G93)*IF(I93="oui",1+MajHNO,1))</f>
        <v>90</v>
      </c>
      <c r="K93" s="17" t="n">
        <f aca="false">IF(J93="","",J93/MinParPoint)</f>
        <v>6</v>
      </c>
    </row>
    <row r="94" customFormat="false" ht="15" hidden="false" customHeight="false" outlineLevel="0" collapsed="false">
      <c r="A94" s="15" t="s">
        <v>243</v>
      </c>
      <c r="B94" s="15" t="s">
        <v>291</v>
      </c>
      <c r="C94" s="15" t="s">
        <v>395</v>
      </c>
      <c r="D94" s="15" t="s">
        <v>396</v>
      </c>
      <c r="E94" s="15" t="s">
        <v>363</v>
      </c>
      <c r="F94" s="16" t="s">
        <v>177</v>
      </c>
      <c r="G94" s="8" t="n">
        <f aca="false">IFERROR(INDEX(Familles!$D$5:$D$56,MATCH(F94,Familles!$A$5:$A$56,0)),"")</f>
        <v>0</v>
      </c>
      <c r="H94" s="16"/>
      <c r="I94" s="16"/>
      <c r="J94" s="8" t="n">
        <f aca="false">IF(AND(H94="",G94=""),"",IF(H94&lt;&gt;"",H94,G94)*IF(I94="oui",1+MajHNO,1))</f>
        <v>0</v>
      </c>
      <c r="K94" s="17" t="n">
        <f aca="false">IF(J94="","",J94/MinParPoint)</f>
        <v>0</v>
      </c>
    </row>
    <row r="95" customFormat="false" ht="15" hidden="false" customHeight="false" outlineLevel="0" collapsed="false">
      <c r="A95" s="15" t="s">
        <v>243</v>
      </c>
      <c r="B95" s="15" t="s">
        <v>291</v>
      </c>
      <c r="C95" s="15" t="s">
        <v>397</v>
      </c>
      <c r="D95" s="15" t="s">
        <v>398</v>
      </c>
      <c r="E95" s="15" t="s">
        <v>363</v>
      </c>
      <c r="F95" s="16" t="s">
        <v>83</v>
      </c>
      <c r="G95" s="8" t="n">
        <f aca="false">IFERROR(INDEX(Familles!$D$5:$D$56,MATCH(F95,Familles!$A$5:$A$56,0)),"")</f>
        <v>1</v>
      </c>
      <c r="H95" s="16"/>
      <c r="I95" s="16"/>
      <c r="J95" s="8" t="n">
        <f aca="false">IF(AND(H95="",G95=""),"",IF(H95&lt;&gt;"",H95,G95)*IF(I95="oui",1+MajHNO,1))</f>
        <v>1</v>
      </c>
      <c r="K95" s="17" t="n">
        <f aca="false">IF(J95="","",J95/MinParPoint)</f>
        <v>0.0666666666666667</v>
      </c>
    </row>
    <row r="96" customFormat="false" ht="15" hidden="false" customHeight="false" outlineLevel="0" collapsed="false">
      <c r="A96" s="15" t="s">
        <v>243</v>
      </c>
      <c r="B96" s="15" t="s">
        <v>291</v>
      </c>
      <c r="C96" s="15" t="s">
        <v>399</v>
      </c>
      <c r="D96" s="15" t="s">
        <v>400</v>
      </c>
      <c r="E96" s="15" t="s">
        <v>363</v>
      </c>
      <c r="F96" s="16" t="s">
        <v>89</v>
      </c>
      <c r="G96" s="8" t="n">
        <f aca="false">IFERROR(INDEX(Familles!$D$5:$D$56,MATCH(F96,Familles!$A$5:$A$56,0)),"")</f>
        <v>5</v>
      </c>
      <c r="H96" s="16"/>
      <c r="I96" s="16"/>
      <c r="J96" s="8" t="n">
        <f aca="false">IF(AND(H96="",G96=""),"",IF(H96&lt;&gt;"",H96,G96)*IF(I96="oui",1+MajHNO,1))</f>
        <v>5</v>
      </c>
      <c r="K96" s="17" t="n">
        <f aca="false">IF(J96="","",J96/MinParPoint)</f>
        <v>0.333333333333333</v>
      </c>
    </row>
    <row r="97" customFormat="false" ht="15" hidden="false" customHeight="false" outlineLevel="0" collapsed="false">
      <c r="A97" s="15" t="s">
        <v>243</v>
      </c>
      <c r="B97" s="15" t="s">
        <v>291</v>
      </c>
      <c r="C97" s="15" t="s">
        <v>401</v>
      </c>
      <c r="D97" s="15" t="s">
        <v>402</v>
      </c>
      <c r="E97" s="15" t="s">
        <v>363</v>
      </c>
      <c r="F97" s="16" t="s">
        <v>96</v>
      </c>
      <c r="G97" s="8" t="n">
        <f aca="false">IFERROR(INDEX(Familles!$D$5:$D$56,MATCH(F97,Familles!$A$5:$A$56,0)),"")</f>
        <v>90</v>
      </c>
      <c r="H97" s="16"/>
      <c r="I97" s="16"/>
      <c r="J97" s="8" t="n">
        <f aca="false">IF(AND(H97="",G97=""),"",IF(H97&lt;&gt;"",H97,G97)*IF(I97="oui",1+MajHNO,1))</f>
        <v>90</v>
      </c>
      <c r="K97" s="17" t="n">
        <f aca="false">IF(J97="","",J97/MinParPoint)</f>
        <v>6</v>
      </c>
    </row>
    <row r="98" customFormat="false" ht="15" hidden="false" customHeight="false" outlineLevel="0" collapsed="false">
      <c r="A98" s="15" t="s">
        <v>243</v>
      </c>
      <c r="B98" s="15" t="s">
        <v>291</v>
      </c>
      <c r="C98" s="15" t="s">
        <v>403</v>
      </c>
      <c r="D98" s="15" t="s">
        <v>404</v>
      </c>
      <c r="E98" s="15" t="s">
        <v>363</v>
      </c>
      <c r="F98" s="16" t="s">
        <v>152</v>
      </c>
      <c r="G98" s="8" t="n">
        <f aca="false">IFERROR(INDEX(Familles!$D$5:$D$56,MATCH(F98,Familles!$A$5:$A$56,0)),"")</f>
        <v>90</v>
      </c>
      <c r="H98" s="16"/>
      <c r="I98" s="16"/>
      <c r="J98" s="8" t="n">
        <f aca="false">IF(AND(H98="",G98=""),"",IF(H98&lt;&gt;"",H98,G98)*IF(I98="oui",1+MajHNO,1))</f>
        <v>90</v>
      </c>
      <c r="K98" s="17" t="n">
        <f aca="false">IF(J98="","",J98/MinParPoint)</f>
        <v>6</v>
      </c>
    </row>
    <row r="99" customFormat="false" ht="15" hidden="false" customHeight="false" outlineLevel="0" collapsed="false">
      <c r="A99" s="15" t="s">
        <v>243</v>
      </c>
      <c r="B99" s="15" t="s">
        <v>291</v>
      </c>
      <c r="C99" s="15" t="s">
        <v>405</v>
      </c>
      <c r="D99" s="15" t="s">
        <v>406</v>
      </c>
      <c r="E99" s="15" t="s">
        <v>363</v>
      </c>
      <c r="F99" s="16" t="s">
        <v>155</v>
      </c>
      <c r="G99" s="8" t="n">
        <f aca="false">IFERROR(INDEX(Familles!$D$5:$D$56,MATCH(F99,Familles!$A$5:$A$56,0)),"")</f>
        <v>480</v>
      </c>
      <c r="H99" s="16"/>
      <c r="I99" s="16"/>
      <c r="J99" s="8" t="n">
        <f aca="false">IF(AND(H99="",G99=""),"",IF(H99&lt;&gt;"",H99,G99)*IF(I99="oui",1+MajHNO,1))</f>
        <v>480</v>
      </c>
      <c r="K99" s="17" t="n">
        <f aca="false">IF(J99="","",J99/MinParPoint)</f>
        <v>32</v>
      </c>
    </row>
    <row r="100" customFormat="false" ht="15" hidden="false" customHeight="false" outlineLevel="0" collapsed="false">
      <c r="A100" s="15" t="s">
        <v>243</v>
      </c>
      <c r="B100" s="15" t="s">
        <v>291</v>
      </c>
      <c r="C100" s="15" t="s">
        <v>407</v>
      </c>
      <c r="D100" s="15" t="s">
        <v>408</v>
      </c>
      <c r="E100" s="15" t="s">
        <v>363</v>
      </c>
      <c r="F100" s="16" t="s">
        <v>152</v>
      </c>
      <c r="G100" s="8" t="n">
        <f aca="false">IFERROR(INDEX(Familles!$D$5:$D$56,MATCH(F100,Familles!$A$5:$A$56,0)),"")</f>
        <v>90</v>
      </c>
      <c r="H100" s="16"/>
      <c r="I100" s="16"/>
      <c r="J100" s="8" t="n">
        <f aca="false">IF(AND(H100="",G100=""),"",IF(H100&lt;&gt;"",H100,G100)*IF(I100="oui",1+MajHNO,1))</f>
        <v>90</v>
      </c>
      <c r="K100" s="17" t="n">
        <f aca="false">IF(J100="","",J100/MinParPoint)</f>
        <v>6</v>
      </c>
    </row>
    <row r="101" customFormat="false" ht="15" hidden="false" customHeight="false" outlineLevel="0" collapsed="false">
      <c r="A101" s="15" t="s">
        <v>243</v>
      </c>
      <c r="B101" s="15" t="s">
        <v>291</v>
      </c>
      <c r="C101" s="15" t="s">
        <v>409</v>
      </c>
      <c r="D101" s="15" t="s">
        <v>410</v>
      </c>
      <c r="E101" s="15" t="s">
        <v>363</v>
      </c>
      <c r="F101" s="16" t="s">
        <v>155</v>
      </c>
      <c r="G101" s="8" t="n">
        <f aca="false">IFERROR(INDEX(Familles!$D$5:$D$56,MATCH(F101,Familles!$A$5:$A$56,0)),"")</f>
        <v>480</v>
      </c>
      <c r="H101" s="16"/>
      <c r="I101" s="16"/>
      <c r="J101" s="8" t="n">
        <f aca="false">IF(AND(H101="",G101=""),"",IF(H101&lt;&gt;"",H101,G101)*IF(I101="oui",1+MajHNO,1))</f>
        <v>480</v>
      </c>
      <c r="K101" s="17" t="n">
        <f aca="false">IF(J101="","",J101/MinParPoint)</f>
        <v>32</v>
      </c>
    </row>
    <row r="102" customFormat="false" ht="15" hidden="false" customHeight="false" outlineLevel="0" collapsed="false">
      <c r="A102" s="15" t="s">
        <v>243</v>
      </c>
      <c r="B102" s="15" t="s">
        <v>291</v>
      </c>
      <c r="C102" s="15" t="s">
        <v>411</v>
      </c>
      <c r="D102" s="15" t="s">
        <v>412</v>
      </c>
      <c r="E102" s="15" t="s">
        <v>363</v>
      </c>
      <c r="F102" s="16" t="s">
        <v>155</v>
      </c>
      <c r="G102" s="8" t="n">
        <f aca="false">IFERROR(INDEX(Familles!$D$5:$D$56,MATCH(F102,Familles!$A$5:$A$56,0)),"")</f>
        <v>480</v>
      </c>
      <c r="H102" s="16"/>
      <c r="I102" s="16"/>
      <c r="J102" s="8" t="n">
        <f aca="false">IF(AND(H102="",G102=""),"",IF(H102&lt;&gt;"",H102,G102)*IF(I102="oui",1+MajHNO,1))</f>
        <v>480</v>
      </c>
      <c r="K102" s="17" t="n">
        <f aca="false">IF(J102="","",J102/MinParPoint)</f>
        <v>32</v>
      </c>
    </row>
    <row r="103" customFormat="false" ht="15" hidden="false" customHeight="false" outlineLevel="0" collapsed="false">
      <c r="A103" s="15" t="s">
        <v>243</v>
      </c>
      <c r="B103" s="15" t="s">
        <v>291</v>
      </c>
      <c r="C103" s="15" t="s">
        <v>413</v>
      </c>
      <c r="D103" s="15" t="s">
        <v>414</v>
      </c>
      <c r="E103" s="15" t="s">
        <v>363</v>
      </c>
      <c r="F103" s="16" t="s">
        <v>70</v>
      </c>
      <c r="G103" s="8" t="n">
        <f aca="false">IFERROR(INDEX(Familles!$D$5:$D$56,MATCH(F103,Familles!$A$5:$A$56,0)),"")</f>
        <v>180</v>
      </c>
      <c r="H103" s="16"/>
      <c r="I103" s="16"/>
      <c r="J103" s="8" t="n">
        <f aca="false">IF(AND(H103="",G103=""),"",IF(H103&lt;&gt;"",H103,G103)*IF(I103="oui",1+MajHNO,1))</f>
        <v>180</v>
      </c>
      <c r="K103" s="17" t="n">
        <f aca="false">IF(J103="","",J103/MinParPoint)</f>
        <v>12</v>
      </c>
    </row>
    <row r="104" customFormat="false" ht="15" hidden="false" customHeight="false" outlineLevel="0" collapsed="false">
      <c r="A104" s="15" t="s">
        <v>243</v>
      </c>
      <c r="B104" s="15" t="s">
        <v>291</v>
      </c>
      <c r="C104" s="15" t="s">
        <v>415</v>
      </c>
      <c r="D104" s="15" t="s">
        <v>416</v>
      </c>
      <c r="E104" s="15" t="s">
        <v>363</v>
      </c>
      <c r="F104" s="16" t="s">
        <v>147</v>
      </c>
      <c r="G104" s="8" t="n">
        <f aca="false">IFERROR(INDEX(Familles!$D$5:$D$56,MATCH(F104,Familles!$A$5:$A$56,0)),"")</f>
        <v>45</v>
      </c>
      <c r="H104" s="16"/>
      <c r="I104" s="16"/>
      <c r="J104" s="8" t="n">
        <f aca="false">IF(AND(H104="",G104=""),"",IF(H104&lt;&gt;"",H104,G104)*IF(I104="oui",1+MajHNO,1))</f>
        <v>45</v>
      </c>
      <c r="K104" s="17" t="n">
        <f aca="false">IF(J104="","",J104/MinParPoint)</f>
        <v>3</v>
      </c>
    </row>
    <row r="105" customFormat="false" ht="15" hidden="false" customHeight="false" outlineLevel="0" collapsed="false">
      <c r="A105" s="15" t="s">
        <v>243</v>
      </c>
      <c r="B105" s="15" t="s">
        <v>291</v>
      </c>
      <c r="C105" s="15" t="s">
        <v>417</v>
      </c>
      <c r="D105" s="15" t="s">
        <v>418</v>
      </c>
      <c r="E105" s="15" t="s">
        <v>363</v>
      </c>
      <c r="F105" s="16" t="s">
        <v>42</v>
      </c>
      <c r="G105" s="8" t="n">
        <f aca="false">IFERROR(INDEX(Familles!$D$5:$D$56,MATCH(F105,Familles!$A$5:$A$56,0)),"")</f>
        <v>60</v>
      </c>
      <c r="H105" s="16"/>
      <c r="I105" s="16" t="s">
        <v>209</v>
      </c>
      <c r="J105" s="8" t="n">
        <f aca="false">IF(AND(H105="",G105=""),"",IF(H105&lt;&gt;"",H105,G105)*IF(I105="oui",1+MajHNO,1))</f>
        <v>75</v>
      </c>
      <c r="K105" s="17" t="n">
        <f aca="false">IF(J105="","",J105/MinParPoint)</f>
        <v>5</v>
      </c>
    </row>
    <row r="106" customFormat="false" ht="15" hidden="false" customHeight="false" outlineLevel="0" collapsed="false">
      <c r="A106" s="15" t="s">
        <v>243</v>
      </c>
      <c r="B106" s="15" t="s">
        <v>291</v>
      </c>
      <c r="C106" s="15" t="s">
        <v>419</v>
      </c>
      <c r="D106" s="15" t="s">
        <v>420</v>
      </c>
      <c r="E106" s="15" t="s">
        <v>363</v>
      </c>
      <c r="F106" s="16" t="s">
        <v>42</v>
      </c>
      <c r="G106" s="8" t="n">
        <f aca="false">IFERROR(INDEX(Familles!$D$5:$D$56,MATCH(F106,Familles!$A$5:$A$56,0)),"")</f>
        <v>60</v>
      </c>
      <c r="H106" s="16"/>
      <c r="I106" s="16"/>
      <c r="J106" s="8" t="n">
        <f aca="false">IF(AND(H106="",G106=""),"",IF(H106&lt;&gt;"",H106,G106)*IF(I106="oui",1+MajHNO,1))</f>
        <v>60</v>
      </c>
      <c r="K106" s="17" t="n">
        <f aca="false">IF(J106="","",J106/MinParPoint)</f>
        <v>4</v>
      </c>
    </row>
    <row r="107" customFormat="false" ht="15" hidden="false" customHeight="false" outlineLevel="0" collapsed="false">
      <c r="A107" s="15" t="s">
        <v>243</v>
      </c>
      <c r="B107" s="15" t="s">
        <v>421</v>
      </c>
      <c r="C107" s="15" t="s">
        <v>422</v>
      </c>
      <c r="D107" s="15" t="s">
        <v>423</v>
      </c>
      <c r="E107" s="15" t="s">
        <v>326</v>
      </c>
      <c r="F107" s="16" t="s">
        <v>83</v>
      </c>
      <c r="G107" s="8" t="n">
        <f aca="false">IFERROR(INDEX(Familles!$D$5:$D$56,MATCH(F107,Familles!$A$5:$A$56,0)),"")</f>
        <v>1</v>
      </c>
      <c r="H107" s="16"/>
      <c r="I107" s="16"/>
      <c r="J107" s="8" t="n">
        <f aca="false">IF(AND(H107="",G107=""),"",IF(H107&lt;&gt;"",H107,G107)*IF(I107="oui",1+MajHNO,1))</f>
        <v>1</v>
      </c>
      <c r="K107" s="17" t="n">
        <f aca="false">IF(J107="","",J107/MinParPoint)</f>
        <v>0.0666666666666667</v>
      </c>
    </row>
    <row r="108" customFormat="false" ht="15" hidden="false" customHeight="false" outlineLevel="0" collapsed="false">
      <c r="A108" s="15" t="s">
        <v>243</v>
      </c>
      <c r="B108" s="15" t="s">
        <v>421</v>
      </c>
      <c r="C108" s="15" t="s">
        <v>424</v>
      </c>
      <c r="D108" s="15" t="s">
        <v>425</v>
      </c>
      <c r="E108" s="15" t="s">
        <v>326</v>
      </c>
      <c r="F108" s="16" t="s">
        <v>83</v>
      </c>
      <c r="G108" s="8" t="n">
        <f aca="false">IFERROR(INDEX(Familles!$D$5:$D$56,MATCH(F108,Familles!$A$5:$A$56,0)),"")</f>
        <v>1</v>
      </c>
      <c r="H108" s="16"/>
      <c r="I108" s="16"/>
      <c r="J108" s="8" t="n">
        <f aca="false">IF(AND(H108="",G108=""),"",IF(H108&lt;&gt;"",H108,G108)*IF(I108="oui",1+MajHNO,1))</f>
        <v>1</v>
      </c>
      <c r="K108" s="17" t="n">
        <f aca="false">IF(J108="","",J108/MinParPoint)</f>
        <v>0.0666666666666667</v>
      </c>
    </row>
    <row r="109" customFormat="false" ht="15" hidden="false" customHeight="false" outlineLevel="0" collapsed="false">
      <c r="A109" s="15" t="s">
        <v>243</v>
      </c>
      <c r="B109" s="15" t="s">
        <v>421</v>
      </c>
      <c r="C109" s="15" t="s">
        <v>426</v>
      </c>
      <c r="D109" s="15" t="s">
        <v>427</v>
      </c>
      <c r="E109" s="15" t="s">
        <v>326</v>
      </c>
      <c r="F109" s="16" t="s">
        <v>83</v>
      </c>
      <c r="G109" s="8" t="n">
        <f aca="false">IFERROR(INDEX(Familles!$D$5:$D$56,MATCH(F109,Familles!$A$5:$A$56,0)),"")</f>
        <v>1</v>
      </c>
      <c r="H109" s="16"/>
      <c r="I109" s="16"/>
      <c r="J109" s="8" t="n">
        <f aca="false">IF(AND(H109="",G109=""),"",IF(H109&lt;&gt;"",H109,G109)*IF(I109="oui",1+MajHNO,1))</f>
        <v>1</v>
      </c>
      <c r="K109" s="17" t="n">
        <f aca="false">IF(J109="","",J109/MinParPoint)</f>
        <v>0.0666666666666667</v>
      </c>
    </row>
    <row r="110" customFormat="false" ht="15" hidden="false" customHeight="false" outlineLevel="0" collapsed="false">
      <c r="A110" s="15" t="s">
        <v>243</v>
      </c>
      <c r="B110" s="15" t="s">
        <v>421</v>
      </c>
      <c r="C110" s="15" t="s">
        <v>428</v>
      </c>
      <c r="D110" s="15" t="s">
        <v>429</v>
      </c>
      <c r="E110" s="15" t="s">
        <v>326</v>
      </c>
      <c r="F110" s="16" t="s">
        <v>83</v>
      </c>
      <c r="G110" s="8" t="n">
        <f aca="false">IFERROR(INDEX(Familles!$D$5:$D$56,MATCH(F110,Familles!$A$5:$A$56,0)),"")</f>
        <v>1</v>
      </c>
      <c r="H110" s="16"/>
      <c r="I110" s="16"/>
      <c r="J110" s="8" t="n">
        <f aca="false">IF(AND(H110="",G110=""),"",IF(H110&lt;&gt;"",H110,G110)*IF(I110="oui",1+MajHNO,1))</f>
        <v>1</v>
      </c>
      <c r="K110" s="17" t="n">
        <f aca="false">IF(J110="","",J110/MinParPoint)</f>
        <v>0.0666666666666667</v>
      </c>
    </row>
    <row r="111" customFormat="false" ht="15" hidden="false" customHeight="false" outlineLevel="0" collapsed="false">
      <c r="A111" s="15" t="s">
        <v>243</v>
      </c>
      <c r="B111" s="15" t="s">
        <v>421</v>
      </c>
      <c r="C111" s="15" t="s">
        <v>430</v>
      </c>
      <c r="D111" s="15" t="s">
        <v>431</v>
      </c>
      <c r="E111" s="15" t="s">
        <v>326</v>
      </c>
      <c r="F111" s="16" t="s">
        <v>83</v>
      </c>
      <c r="G111" s="8" t="n">
        <f aca="false">IFERROR(INDEX(Familles!$D$5:$D$56,MATCH(F111,Familles!$A$5:$A$56,0)),"")</f>
        <v>1</v>
      </c>
      <c r="H111" s="16"/>
      <c r="I111" s="16"/>
      <c r="J111" s="8" t="n">
        <f aca="false">IF(AND(H111="",G111=""),"",IF(H111&lt;&gt;"",H111,G111)*IF(I111="oui",1+MajHNO,1))</f>
        <v>1</v>
      </c>
      <c r="K111" s="17" t="n">
        <f aca="false">IF(J111="","",J111/MinParPoint)</f>
        <v>0.0666666666666667</v>
      </c>
    </row>
    <row r="112" customFormat="false" ht="15" hidden="false" customHeight="false" outlineLevel="0" collapsed="false">
      <c r="A112" s="15" t="s">
        <v>243</v>
      </c>
      <c r="B112" s="15" t="s">
        <v>421</v>
      </c>
      <c r="C112" s="15" t="s">
        <v>432</v>
      </c>
      <c r="D112" s="15" t="s">
        <v>433</v>
      </c>
      <c r="E112" s="15" t="s">
        <v>326</v>
      </c>
      <c r="F112" s="16" t="s">
        <v>87</v>
      </c>
      <c r="G112" s="8" t="n">
        <f aca="false">IFERROR(INDEX(Familles!$D$5:$D$56,MATCH(F112,Familles!$A$5:$A$56,0)),"")</f>
        <v>0.5</v>
      </c>
      <c r="H112" s="16"/>
      <c r="I112" s="16"/>
      <c r="J112" s="8" t="n">
        <f aca="false">IF(AND(H112="",G112=""),"",IF(H112&lt;&gt;"",H112,G112)*IF(I112="oui",1+MajHNO,1))</f>
        <v>0.5</v>
      </c>
      <c r="K112" s="17" t="n">
        <f aca="false">IF(J112="","",J112/MinParPoint)</f>
        <v>0.0333333333333333</v>
      </c>
    </row>
    <row r="113" customFormat="false" ht="15" hidden="false" customHeight="false" outlineLevel="0" collapsed="false">
      <c r="A113" s="15" t="s">
        <v>243</v>
      </c>
      <c r="B113" s="15" t="s">
        <v>421</v>
      </c>
      <c r="C113" s="15" t="s">
        <v>434</v>
      </c>
      <c r="D113" s="15" t="s">
        <v>435</v>
      </c>
      <c r="E113" s="15" t="s">
        <v>326</v>
      </c>
      <c r="F113" s="16" t="s">
        <v>83</v>
      </c>
      <c r="G113" s="8" t="n">
        <f aca="false">IFERROR(INDEX(Familles!$D$5:$D$56,MATCH(F113,Familles!$A$5:$A$56,0)),"")</f>
        <v>1</v>
      </c>
      <c r="H113" s="16"/>
      <c r="I113" s="16"/>
      <c r="J113" s="8" t="n">
        <f aca="false">IF(AND(H113="",G113=""),"",IF(H113&lt;&gt;"",H113,G113)*IF(I113="oui",1+MajHNO,1))</f>
        <v>1</v>
      </c>
      <c r="K113" s="17" t="n">
        <f aca="false">IF(J113="","",J113/MinParPoint)</f>
        <v>0.0666666666666667</v>
      </c>
    </row>
    <row r="114" customFormat="false" ht="15" hidden="false" customHeight="false" outlineLevel="0" collapsed="false">
      <c r="A114" s="15" t="s">
        <v>243</v>
      </c>
      <c r="B114" s="15" t="s">
        <v>421</v>
      </c>
      <c r="C114" s="15" t="s">
        <v>436</v>
      </c>
      <c r="D114" s="15" t="s">
        <v>437</v>
      </c>
      <c r="E114" s="15" t="s">
        <v>326</v>
      </c>
      <c r="F114" s="16" t="s">
        <v>83</v>
      </c>
      <c r="G114" s="8" t="n">
        <f aca="false">IFERROR(INDEX(Familles!$D$5:$D$56,MATCH(F114,Familles!$A$5:$A$56,0)),"")</f>
        <v>1</v>
      </c>
      <c r="H114" s="16"/>
      <c r="I114" s="16"/>
      <c r="J114" s="8" t="n">
        <f aca="false">IF(AND(H114="",G114=""),"",IF(H114&lt;&gt;"",H114,G114)*IF(I114="oui",1+MajHNO,1))</f>
        <v>1</v>
      </c>
      <c r="K114" s="17" t="n">
        <f aca="false">IF(J114="","",J114/MinParPoint)</f>
        <v>0.0666666666666667</v>
      </c>
    </row>
    <row r="115" customFormat="false" ht="15" hidden="false" customHeight="false" outlineLevel="0" collapsed="false">
      <c r="A115" s="15" t="s">
        <v>243</v>
      </c>
      <c r="B115" s="15" t="s">
        <v>421</v>
      </c>
      <c r="C115" s="15" t="s">
        <v>438</v>
      </c>
      <c r="D115" s="15" t="s">
        <v>439</v>
      </c>
      <c r="E115" s="15" t="s">
        <v>326</v>
      </c>
      <c r="F115" s="16" t="s">
        <v>87</v>
      </c>
      <c r="G115" s="8" t="n">
        <f aca="false">IFERROR(INDEX(Familles!$D$5:$D$56,MATCH(F115,Familles!$A$5:$A$56,0)),"")</f>
        <v>0.5</v>
      </c>
      <c r="H115" s="16"/>
      <c r="I115" s="16"/>
      <c r="J115" s="8" t="n">
        <f aca="false">IF(AND(H115="",G115=""),"",IF(H115&lt;&gt;"",H115,G115)*IF(I115="oui",1+MajHNO,1))</f>
        <v>0.5</v>
      </c>
      <c r="K115" s="17" t="n">
        <f aca="false">IF(J115="","",J115/MinParPoint)</f>
        <v>0.0333333333333333</v>
      </c>
    </row>
    <row r="116" customFormat="false" ht="15" hidden="false" customHeight="false" outlineLevel="0" collapsed="false">
      <c r="A116" s="15" t="s">
        <v>243</v>
      </c>
      <c r="B116" s="15" t="s">
        <v>421</v>
      </c>
      <c r="C116" s="15" t="s">
        <v>440</v>
      </c>
      <c r="D116" s="15" t="s">
        <v>441</v>
      </c>
      <c r="E116" s="15" t="s">
        <v>326</v>
      </c>
      <c r="F116" s="16" t="s">
        <v>87</v>
      </c>
      <c r="G116" s="8" t="n">
        <f aca="false">IFERROR(INDEX(Familles!$D$5:$D$56,MATCH(F116,Familles!$A$5:$A$56,0)),"")</f>
        <v>0.5</v>
      </c>
      <c r="H116" s="16"/>
      <c r="I116" s="16"/>
      <c r="J116" s="8" t="n">
        <f aca="false">IF(AND(H116="",G116=""),"",IF(H116&lt;&gt;"",H116,G116)*IF(I116="oui",1+MajHNO,1))</f>
        <v>0.5</v>
      </c>
      <c r="K116" s="17" t="n">
        <f aca="false">IF(J116="","",J116/MinParPoint)</f>
        <v>0.0333333333333333</v>
      </c>
    </row>
    <row r="117" customFormat="false" ht="15" hidden="false" customHeight="false" outlineLevel="0" collapsed="false">
      <c r="A117" s="15" t="s">
        <v>243</v>
      </c>
      <c r="B117" s="15" t="s">
        <v>421</v>
      </c>
      <c r="C117" s="15" t="s">
        <v>442</v>
      </c>
      <c r="D117" s="15" t="s">
        <v>443</v>
      </c>
      <c r="E117" s="15" t="s">
        <v>284</v>
      </c>
      <c r="F117" s="16" t="s">
        <v>155</v>
      </c>
      <c r="G117" s="8" t="n">
        <f aca="false">IFERROR(INDEX(Familles!$D$5:$D$56,MATCH(F117,Familles!$A$5:$A$56,0)),"")</f>
        <v>480</v>
      </c>
      <c r="H117" s="16"/>
      <c r="I117" s="16"/>
      <c r="J117" s="8" t="n">
        <f aca="false">IF(AND(H117="",G117=""),"",IF(H117&lt;&gt;"",H117,G117)*IF(I117="oui",1+MajHNO,1))</f>
        <v>480</v>
      </c>
      <c r="K117" s="17" t="n">
        <f aca="false">IF(J117="","",J117/MinParPoint)</f>
        <v>32</v>
      </c>
    </row>
    <row r="118" customFormat="false" ht="15" hidden="false" customHeight="false" outlineLevel="0" collapsed="false">
      <c r="A118" s="15" t="s">
        <v>243</v>
      </c>
      <c r="B118" s="15" t="s">
        <v>421</v>
      </c>
      <c r="C118" s="15" t="s">
        <v>444</v>
      </c>
      <c r="D118" s="15" t="s">
        <v>445</v>
      </c>
      <c r="E118" s="15" t="s">
        <v>363</v>
      </c>
      <c r="F118" s="16" t="s">
        <v>147</v>
      </c>
      <c r="G118" s="8" t="n">
        <f aca="false">IFERROR(INDEX(Familles!$D$5:$D$56,MATCH(F118,Familles!$A$5:$A$56,0)),"")</f>
        <v>45</v>
      </c>
      <c r="H118" s="16"/>
      <c r="I118" s="16"/>
      <c r="J118" s="8" t="n">
        <f aca="false">IF(AND(H118="",G118=""),"",IF(H118&lt;&gt;"",H118,G118)*IF(I118="oui",1+MajHNO,1))</f>
        <v>45</v>
      </c>
      <c r="K118" s="17" t="n">
        <f aca="false">IF(J118="","",J118/MinParPoint)</f>
        <v>3</v>
      </c>
    </row>
    <row r="119" customFormat="false" ht="15" hidden="false" customHeight="false" outlineLevel="0" collapsed="false">
      <c r="A119" s="15" t="s">
        <v>243</v>
      </c>
      <c r="B119" s="15" t="s">
        <v>421</v>
      </c>
      <c r="C119" s="15" t="s">
        <v>446</v>
      </c>
      <c r="D119" s="15" t="s">
        <v>151</v>
      </c>
      <c r="E119" s="15" t="s">
        <v>363</v>
      </c>
      <c r="F119" s="16" t="s">
        <v>150</v>
      </c>
      <c r="G119" s="8" t="n">
        <f aca="false">IFERROR(INDEX(Familles!$D$5:$D$56,MATCH(F119,Familles!$A$5:$A$56,0)),"")</f>
        <v>90</v>
      </c>
      <c r="H119" s="16"/>
      <c r="I119" s="16"/>
      <c r="J119" s="8" t="n">
        <f aca="false">IF(AND(H119="",G119=""),"",IF(H119&lt;&gt;"",H119,G119)*IF(I119="oui",1+MajHNO,1))</f>
        <v>90</v>
      </c>
      <c r="K119" s="17" t="n">
        <f aca="false">IF(J119="","",J119/MinParPoint)</f>
        <v>6</v>
      </c>
    </row>
    <row r="120" customFormat="false" ht="15" hidden="false" customHeight="false" outlineLevel="0" collapsed="false">
      <c r="A120" s="15" t="s">
        <v>243</v>
      </c>
      <c r="B120" s="15" t="s">
        <v>421</v>
      </c>
      <c r="C120" s="15" t="s">
        <v>447</v>
      </c>
      <c r="D120" s="15" t="s">
        <v>448</v>
      </c>
      <c r="E120" s="15" t="s">
        <v>449</v>
      </c>
      <c r="F120" s="16" t="s">
        <v>155</v>
      </c>
      <c r="G120" s="8" t="n">
        <f aca="false">IFERROR(INDEX(Familles!$D$5:$D$56,MATCH(F120,Familles!$A$5:$A$56,0)),"")</f>
        <v>480</v>
      </c>
      <c r="H120" s="16"/>
      <c r="I120" s="16"/>
      <c r="J120" s="8" t="n">
        <f aca="false">IF(AND(H120="",G120=""),"",IF(H120&lt;&gt;"",H120,G120)*IF(I120="oui",1+MajHNO,1))</f>
        <v>480</v>
      </c>
      <c r="K120" s="17" t="n">
        <f aca="false">IF(J120="","",J120/MinParPoint)</f>
        <v>32</v>
      </c>
    </row>
    <row r="121" customFormat="false" ht="15" hidden="false" customHeight="false" outlineLevel="0" collapsed="false">
      <c r="A121" s="15" t="s">
        <v>243</v>
      </c>
      <c r="B121" s="15" t="s">
        <v>421</v>
      </c>
      <c r="C121" s="15" t="s">
        <v>450</v>
      </c>
      <c r="D121" s="15" t="s">
        <v>451</v>
      </c>
      <c r="E121" s="15" t="s">
        <v>326</v>
      </c>
      <c r="F121" s="16" t="s">
        <v>89</v>
      </c>
      <c r="G121" s="8" t="n">
        <f aca="false">IFERROR(INDEX(Familles!$D$5:$D$56,MATCH(F121,Familles!$A$5:$A$56,0)),"")</f>
        <v>5</v>
      </c>
      <c r="H121" s="16"/>
      <c r="I121" s="16"/>
      <c r="J121" s="8" t="n">
        <f aca="false">IF(AND(H121="",G121=""),"",IF(H121&lt;&gt;"",H121,G121)*IF(I121="oui",1+MajHNO,1))</f>
        <v>5</v>
      </c>
      <c r="K121" s="17" t="n">
        <f aca="false">IF(J121="","",J121/MinParPoint)</f>
        <v>0.333333333333333</v>
      </c>
    </row>
    <row r="122" customFormat="false" ht="15" hidden="false" customHeight="false" outlineLevel="0" collapsed="false">
      <c r="A122" s="15" t="s">
        <v>243</v>
      </c>
      <c r="B122" s="15" t="s">
        <v>421</v>
      </c>
      <c r="C122" s="15" t="s">
        <v>452</v>
      </c>
      <c r="D122" s="15" t="s">
        <v>453</v>
      </c>
      <c r="E122" s="15" t="s">
        <v>326</v>
      </c>
      <c r="F122" s="16" t="s">
        <v>89</v>
      </c>
      <c r="G122" s="8" t="n">
        <f aca="false">IFERROR(INDEX(Familles!$D$5:$D$56,MATCH(F122,Familles!$A$5:$A$56,0)),"")</f>
        <v>5</v>
      </c>
      <c r="H122" s="16"/>
      <c r="I122" s="16"/>
      <c r="J122" s="8" t="n">
        <f aca="false">IF(AND(H122="",G122=""),"",IF(H122&lt;&gt;"",H122,G122)*IF(I122="oui",1+MajHNO,1))</f>
        <v>5</v>
      </c>
      <c r="K122" s="17" t="n">
        <f aca="false">IF(J122="","",J122/MinParPoint)</f>
        <v>0.333333333333333</v>
      </c>
    </row>
    <row r="123" customFormat="false" ht="15" hidden="false" customHeight="false" outlineLevel="0" collapsed="false">
      <c r="A123" s="15" t="s">
        <v>243</v>
      </c>
      <c r="B123" s="15" t="s">
        <v>421</v>
      </c>
      <c r="C123" s="15" t="s">
        <v>454</v>
      </c>
      <c r="D123" s="15" t="s">
        <v>455</v>
      </c>
      <c r="E123" s="15" t="s">
        <v>326</v>
      </c>
      <c r="F123" s="16" t="s">
        <v>89</v>
      </c>
      <c r="G123" s="8" t="n">
        <f aca="false">IFERROR(INDEX(Familles!$D$5:$D$56,MATCH(F123,Familles!$A$5:$A$56,0)),"")</f>
        <v>5</v>
      </c>
      <c r="H123" s="16"/>
      <c r="I123" s="16"/>
      <c r="J123" s="8" t="n">
        <f aca="false">IF(AND(H123="",G123=""),"",IF(H123&lt;&gt;"",H123,G123)*IF(I123="oui",1+MajHNO,1))</f>
        <v>5</v>
      </c>
      <c r="K123" s="17" t="n">
        <f aca="false">IF(J123="","",J123/MinParPoint)</f>
        <v>0.333333333333333</v>
      </c>
    </row>
    <row r="124" customFormat="false" ht="15" hidden="false" customHeight="false" outlineLevel="0" collapsed="false">
      <c r="A124" s="15" t="s">
        <v>243</v>
      </c>
      <c r="B124" s="15" t="s">
        <v>421</v>
      </c>
      <c r="C124" s="15" t="s">
        <v>456</v>
      </c>
      <c r="D124" s="15" t="s">
        <v>457</v>
      </c>
      <c r="E124" s="15" t="s">
        <v>326</v>
      </c>
      <c r="F124" s="16" t="s">
        <v>89</v>
      </c>
      <c r="G124" s="8" t="n">
        <f aca="false">IFERROR(INDEX(Familles!$D$5:$D$56,MATCH(F124,Familles!$A$5:$A$56,0)),"")</f>
        <v>5</v>
      </c>
      <c r="H124" s="16"/>
      <c r="I124" s="16"/>
      <c r="J124" s="8" t="n">
        <f aca="false">IF(AND(H124="",G124=""),"",IF(H124&lt;&gt;"",H124,G124)*IF(I124="oui",1+MajHNO,1))</f>
        <v>5</v>
      </c>
      <c r="K124" s="17" t="n">
        <f aca="false">IF(J124="","",J124/MinParPoint)</f>
        <v>0.333333333333333</v>
      </c>
    </row>
    <row r="125" customFormat="false" ht="15" hidden="false" customHeight="false" outlineLevel="0" collapsed="false">
      <c r="A125" s="15" t="s">
        <v>243</v>
      </c>
      <c r="B125" s="15" t="s">
        <v>421</v>
      </c>
      <c r="C125" s="15" t="s">
        <v>458</v>
      </c>
      <c r="D125" s="15" t="s">
        <v>94</v>
      </c>
      <c r="E125" s="15" t="s">
        <v>363</v>
      </c>
      <c r="F125" s="16" t="s">
        <v>92</v>
      </c>
      <c r="G125" s="8" t="n">
        <f aca="false">IFERROR(INDEX(Familles!$D$5:$D$56,MATCH(F125,Familles!$A$5:$A$56,0)),"")</f>
        <v>30</v>
      </c>
      <c r="H125" s="16"/>
      <c r="I125" s="16"/>
      <c r="J125" s="8" t="n">
        <f aca="false">IF(AND(H125="",G125=""),"",IF(H125&lt;&gt;"",H125,G125)*IF(I125="oui",1+MajHNO,1))</f>
        <v>30</v>
      </c>
      <c r="K125" s="17" t="n">
        <f aca="false">IF(J125="","",J125/MinParPoint)</f>
        <v>2</v>
      </c>
    </row>
    <row r="126" customFormat="false" ht="15" hidden="false" customHeight="false" outlineLevel="0" collapsed="false">
      <c r="A126" s="15" t="s">
        <v>243</v>
      </c>
      <c r="B126" s="15" t="s">
        <v>421</v>
      </c>
      <c r="C126" s="15" t="s">
        <v>459</v>
      </c>
      <c r="D126" s="15" t="s">
        <v>460</v>
      </c>
      <c r="E126" s="15" t="s">
        <v>363</v>
      </c>
      <c r="F126" s="16" t="s">
        <v>96</v>
      </c>
      <c r="G126" s="8" t="n">
        <f aca="false">IFERROR(INDEX(Familles!$D$5:$D$56,MATCH(F126,Familles!$A$5:$A$56,0)),"")</f>
        <v>90</v>
      </c>
      <c r="H126" s="16"/>
      <c r="I126" s="16"/>
      <c r="J126" s="8" t="n">
        <f aca="false">IF(AND(H126="",G126=""),"",IF(H126&lt;&gt;"",H126,G126)*IF(I126="oui",1+MajHNO,1))</f>
        <v>90</v>
      </c>
      <c r="K126" s="17" t="n">
        <f aca="false">IF(J126="","",J126/MinParPoint)</f>
        <v>6</v>
      </c>
    </row>
    <row r="127" customFormat="false" ht="15" hidden="false" customHeight="false" outlineLevel="0" collapsed="false">
      <c r="A127" s="15" t="s">
        <v>243</v>
      </c>
      <c r="B127" s="15" t="s">
        <v>421</v>
      </c>
      <c r="C127" s="15" t="s">
        <v>461</v>
      </c>
      <c r="D127" s="15" t="s">
        <v>462</v>
      </c>
      <c r="E127" s="15" t="s">
        <v>326</v>
      </c>
      <c r="F127" s="16" t="s">
        <v>83</v>
      </c>
      <c r="G127" s="8" t="n">
        <f aca="false">IFERROR(INDEX(Familles!$D$5:$D$56,MATCH(F127,Familles!$A$5:$A$56,0)),"")</f>
        <v>1</v>
      </c>
      <c r="H127" s="16"/>
      <c r="I127" s="16"/>
      <c r="J127" s="8" t="n">
        <f aca="false">IF(AND(H127="",G127=""),"",IF(H127&lt;&gt;"",H127,G127)*IF(I127="oui",1+MajHNO,1))</f>
        <v>1</v>
      </c>
      <c r="K127" s="17" t="n">
        <f aca="false">IF(J127="","",J127/MinParPoint)</f>
        <v>0.0666666666666667</v>
      </c>
    </row>
    <row r="128" customFormat="false" ht="15" hidden="false" customHeight="false" outlineLevel="0" collapsed="false">
      <c r="A128" s="15" t="s">
        <v>243</v>
      </c>
      <c r="B128" s="15" t="s">
        <v>421</v>
      </c>
      <c r="C128" s="15" t="s">
        <v>463</v>
      </c>
      <c r="D128" s="15" t="s">
        <v>464</v>
      </c>
      <c r="E128" s="15" t="s">
        <v>326</v>
      </c>
      <c r="F128" s="16" t="s">
        <v>83</v>
      </c>
      <c r="G128" s="8" t="n">
        <f aca="false">IFERROR(INDEX(Familles!$D$5:$D$56,MATCH(F128,Familles!$A$5:$A$56,0)),"")</f>
        <v>1</v>
      </c>
      <c r="H128" s="16"/>
      <c r="I128" s="16"/>
      <c r="J128" s="8" t="n">
        <f aca="false">IF(AND(H128="",G128=""),"",IF(H128&lt;&gt;"",H128,G128)*IF(I128="oui",1+MajHNO,1))</f>
        <v>1</v>
      </c>
      <c r="K128" s="17" t="n">
        <f aca="false">IF(J128="","",J128/MinParPoint)</f>
        <v>0.0666666666666667</v>
      </c>
    </row>
    <row r="129" customFormat="false" ht="15" hidden="false" customHeight="false" outlineLevel="0" collapsed="false">
      <c r="A129" s="15" t="s">
        <v>243</v>
      </c>
      <c r="B129" s="15" t="s">
        <v>421</v>
      </c>
      <c r="C129" s="15" t="s">
        <v>465</v>
      </c>
      <c r="D129" s="15" t="s">
        <v>466</v>
      </c>
      <c r="E129" s="15" t="s">
        <v>467</v>
      </c>
      <c r="F129" s="16" t="s">
        <v>181</v>
      </c>
      <c r="G129" s="8" t="n">
        <f aca="false">IFERROR(INDEX(Familles!$D$5:$D$56,MATCH(F129,Familles!$A$5:$A$56,0)),"")</f>
        <v>0</v>
      </c>
      <c r="H129" s="16"/>
      <c r="I129" s="16"/>
      <c r="J129" s="8" t="n">
        <f aca="false">IF(AND(H129="",G129=""),"",IF(H129&lt;&gt;"",H129,G129)*IF(I129="oui",1+MajHNO,1))</f>
        <v>0</v>
      </c>
      <c r="K129" s="17" t="n">
        <f aca="false">IF(J129="","",J129/MinParPoint)</f>
        <v>0</v>
      </c>
    </row>
    <row r="130" customFormat="false" ht="15" hidden="false" customHeight="false" outlineLevel="0" collapsed="false">
      <c r="A130" s="15" t="s">
        <v>243</v>
      </c>
      <c r="B130" s="15" t="s">
        <v>421</v>
      </c>
      <c r="C130" s="15" t="s">
        <v>468</v>
      </c>
      <c r="D130" s="15" t="s">
        <v>469</v>
      </c>
      <c r="E130" s="15" t="s">
        <v>326</v>
      </c>
      <c r="F130" s="16" t="s">
        <v>89</v>
      </c>
      <c r="G130" s="8" t="n">
        <f aca="false">IFERROR(INDEX(Familles!$D$5:$D$56,MATCH(F130,Familles!$A$5:$A$56,0)),"")</f>
        <v>5</v>
      </c>
      <c r="H130" s="16"/>
      <c r="I130" s="16"/>
      <c r="J130" s="8" t="n">
        <f aca="false">IF(AND(H130="",G130=""),"",IF(H130&lt;&gt;"",H130,G130)*IF(I130="oui",1+MajHNO,1))</f>
        <v>5</v>
      </c>
      <c r="K130" s="17" t="n">
        <f aca="false">IF(J130="","",J130/MinParPoint)</f>
        <v>0.333333333333333</v>
      </c>
    </row>
    <row r="131" customFormat="false" ht="15" hidden="false" customHeight="false" outlineLevel="0" collapsed="false">
      <c r="A131" s="15" t="s">
        <v>243</v>
      </c>
      <c r="B131" s="15" t="s">
        <v>421</v>
      </c>
      <c r="C131" s="15" t="s">
        <v>470</v>
      </c>
      <c r="D131" s="15" t="s">
        <v>471</v>
      </c>
      <c r="E131" s="15" t="s">
        <v>472</v>
      </c>
      <c r="F131" s="16" t="s">
        <v>177</v>
      </c>
      <c r="G131" s="8" t="n">
        <f aca="false">IFERROR(INDEX(Familles!$D$5:$D$56,MATCH(F131,Familles!$A$5:$A$56,0)),"")</f>
        <v>0</v>
      </c>
      <c r="H131" s="16"/>
      <c r="I131" s="16"/>
      <c r="J131" s="8" t="n">
        <f aca="false">IF(AND(H131="",G131=""),"",IF(H131&lt;&gt;"",H131,G131)*IF(I131="oui",1+MajHNO,1))</f>
        <v>0</v>
      </c>
      <c r="K131" s="17" t="n">
        <f aca="false">IF(J131="","",J131/MinParPoint)</f>
        <v>0</v>
      </c>
    </row>
    <row r="132" customFormat="false" ht="15" hidden="false" customHeight="false" outlineLevel="0" collapsed="false">
      <c r="A132" s="15" t="s">
        <v>243</v>
      </c>
      <c r="B132" s="15" t="s">
        <v>421</v>
      </c>
      <c r="C132" s="15" t="s">
        <v>473</v>
      </c>
      <c r="D132" s="15" t="s">
        <v>474</v>
      </c>
      <c r="E132" s="15" t="s">
        <v>326</v>
      </c>
      <c r="F132" s="16" t="s">
        <v>83</v>
      </c>
      <c r="G132" s="8" t="n">
        <f aca="false">IFERROR(INDEX(Familles!$D$5:$D$56,MATCH(F132,Familles!$A$5:$A$56,0)),"")</f>
        <v>1</v>
      </c>
      <c r="H132" s="16"/>
      <c r="I132" s="16"/>
      <c r="J132" s="8" t="n">
        <f aca="false">IF(AND(H132="",G132=""),"",IF(H132&lt;&gt;"",H132,G132)*IF(I132="oui",1+MajHNO,1))</f>
        <v>1</v>
      </c>
      <c r="K132" s="17" t="n">
        <f aca="false">IF(J132="","",J132/MinParPoint)</f>
        <v>0.0666666666666667</v>
      </c>
    </row>
    <row r="133" customFormat="false" ht="15" hidden="false" customHeight="false" outlineLevel="0" collapsed="false">
      <c r="A133" s="15" t="s">
        <v>243</v>
      </c>
      <c r="B133" s="15" t="s">
        <v>421</v>
      </c>
      <c r="C133" s="15" t="s">
        <v>475</v>
      </c>
      <c r="D133" s="15" t="s">
        <v>476</v>
      </c>
      <c r="E133" s="15" t="s">
        <v>326</v>
      </c>
      <c r="F133" s="16" t="s">
        <v>83</v>
      </c>
      <c r="G133" s="8" t="n">
        <f aca="false">IFERROR(INDEX(Familles!$D$5:$D$56,MATCH(F133,Familles!$A$5:$A$56,0)),"")</f>
        <v>1</v>
      </c>
      <c r="H133" s="16"/>
      <c r="I133" s="16"/>
      <c r="J133" s="8" t="n">
        <f aca="false">IF(AND(H133="",G133=""),"",IF(H133&lt;&gt;"",H133,G133)*IF(I133="oui",1+MajHNO,1))</f>
        <v>1</v>
      </c>
      <c r="K133" s="17" t="n">
        <f aca="false">IF(J133="","",J133/MinParPoint)</f>
        <v>0.0666666666666667</v>
      </c>
    </row>
    <row r="134" customFormat="false" ht="15" hidden="false" customHeight="false" outlineLevel="0" collapsed="false">
      <c r="A134" s="15" t="s">
        <v>243</v>
      </c>
      <c r="B134" s="15" t="s">
        <v>421</v>
      </c>
      <c r="C134" s="15" t="s">
        <v>477</v>
      </c>
      <c r="D134" s="15" t="s">
        <v>478</v>
      </c>
      <c r="E134" s="15" t="s">
        <v>326</v>
      </c>
      <c r="F134" s="16" t="s">
        <v>83</v>
      </c>
      <c r="G134" s="8" t="n">
        <f aca="false">IFERROR(INDEX(Familles!$D$5:$D$56,MATCH(F134,Familles!$A$5:$A$56,0)),"")</f>
        <v>1</v>
      </c>
      <c r="H134" s="16"/>
      <c r="I134" s="16"/>
      <c r="J134" s="8" t="n">
        <f aca="false">IF(AND(H134="",G134=""),"",IF(H134&lt;&gt;"",H134,G134)*IF(I134="oui",1+MajHNO,1))</f>
        <v>1</v>
      </c>
      <c r="K134" s="17" t="n">
        <f aca="false">IF(J134="","",J134/MinParPoint)</f>
        <v>0.0666666666666667</v>
      </c>
    </row>
    <row r="135" customFormat="false" ht="15" hidden="false" customHeight="false" outlineLevel="0" collapsed="false">
      <c r="A135" s="15" t="s">
        <v>243</v>
      </c>
      <c r="B135" s="15" t="s">
        <v>421</v>
      </c>
      <c r="C135" s="15" t="s">
        <v>479</v>
      </c>
      <c r="D135" s="15" t="s">
        <v>480</v>
      </c>
      <c r="E135" s="15" t="s">
        <v>326</v>
      </c>
      <c r="F135" s="16" t="s">
        <v>181</v>
      </c>
      <c r="G135" s="8" t="n">
        <f aca="false">IFERROR(INDEX(Familles!$D$5:$D$56,MATCH(F135,Familles!$A$5:$A$56,0)),"")</f>
        <v>0</v>
      </c>
      <c r="H135" s="16"/>
      <c r="I135" s="16"/>
      <c r="J135" s="8" t="n">
        <f aca="false">IF(AND(H135="",G135=""),"",IF(H135&lt;&gt;"",H135,G135)*IF(I135="oui",1+MajHNO,1))</f>
        <v>0</v>
      </c>
      <c r="K135" s="17" t="n">
        <f aca="false">IF(J135="","",J135/MinParPoint)</f>
        <v>0</v>
      </c>
    </row>
    <row r="136" customFormat="false" ht="15" hidden="false" customHeight="false" outlineLevel="0" collapsed="false">
      <c r="A136" s="15" t="s">
        <v>243</v>
      </c>
      <c r="B136" s="15" t="s">
        <v>421</v>
      </c>
      <c r="C136" s="15" t="s">
        <v>481</v>
      </c>
      <c r="D136" s="15" t="s">
        <v>482</v>
      </c>
      <c r="E136" s="15" t="s">
        <v>363</v>
      </c>
      <c r="F136" s="16" t="s">
        <v>111</v>
      </c>
      <c r="G136" s="8" t="n">
        <f aca="false">IFERROR(INDEX(Familles!$D$5:$D$56,MATCH(F136,Familles!$A$5:$A$56,0)),"")</f>
        <v>600</v>
      </c>
      <c r="H136" s="16"/>
      <c r="I136" s="16"/>
      <c r="J136" s="8" t="n">
        <f aca="false">IF(AND(H136="",G136=""),"",IF(H136&lt;&gt;"",H136,G136)*IF(I136="oui",1+MajHNO,1))</f>
        <v>600</v>
      </c>
      <c r="K136" s="17" t="n">
        <f aca="false">IF(J136="","",J136/MinParPoint)</f>
        <v>40</v>
      </c>
    </row>
    <row r="137" customFormat="false" ht="15" hidden="false" customHeight="false" outlineLevel="0" collapsed="false">
      <c r="A137" s="15" t="s">
        <v>243</v>
      </c>
      <c r="B137" s="15" t="s">
        <v>421</v>
      </c>
      <c r="C137" s="15" t="s">
        <v>483</v>
      </c>
      <c r="D137" s="15" t="s">
        <v>484</v>
      </c>
      <c r="E137" s="15" t="s">
        <v>363</v>
      </c>
      <c r="F137" s="16" t="s">
        <v>111</v>
      </c>
      <c r="G137" s="8" t="n">
        <f aca="false">IFERROR(INDEX(Familles!$D$5:$D$56,MATCH(F137,Familles!$A$5:$A$56,0)),"")</f>
        <v>600</v>
      </c>
      <c r="H137" s="16"/>
      <c r="I137" s="16"/>
      <c r="J137" s="8" t="n">
        <f aca="false">IF(AND(H137="",G137=""),"",IF(H137&lt;&gt;"",H137,G137)*IF(I137="oui",1+MajHNO,1))</f>
        <v>600</v>
      </c>
      <c r="K137" s="17" t="n">
        <f aca="false">IF(J137="","",J137/MinParPoint)</f>
        <v>40</v>
      </c>
    </row>
    <row r="138" customFormat="false" ht="15" hidden="false" customHeight="false" outlineLevel="0" collapsed="false">
      <c r="A138" s="15" t="s">
        <v>243</v>
      </c>
      <c r="B138" s="15" t="s">
        <v>421</v>
      </c>
      <c r="C138" s="15" t="s">
        <v>485</v>
      </c>
      <c r="D138" s="15" t="s">
        <v>486</v>
      </c>
      <c r="E138" s="15" t="s">
        <v>363</v>
      </c>
      <c r="F138" s="16" t="s">
        <v>111</v>
      </c>
      <c r="G138" s="8" t="n">
        <f aca="false">IFERROR(INDEX(Familles!$D$5:$D$56,MATCH(F138,Familles!$A$5:$A$56,0)),"")</f>
        <v>600</v>
      </c>
      <c r="H138" s="16"/>
      <c r="I138" s="16"/>
      <c r="J138" s="8" t="n">
        <f aca="false">IF(AND(H138="",G138=""),"",IF(H138&lt;&gt;"",H138,G138)*IF(I138="oui",1+MajHNO,1))</f>
        <v>600</v>
      </c>
      <c r="K138" s="17" t="n">
        <f aca="false">IF(J138="","",J138/MinParPoint)</f>
        <v>40</v>
      </c>
    </row>
    <row r="139" customFormat="false" ht="15" hidden="false" customHeight="false" outlineLevel="0" collapsed="false">
      <c r="A139" s="15" t="s">
        <v>243</v>
      </c>
      <c r="B139" s="15" t="s">
        <v>421</v>
      </c>
      <c r="C139" s="15" t="s">
        <v>487</v>
      </c>
      <c r="D139" s="15" t="s">
        <v>488</v>
      </c>
      <c r="E139" s="15" t="s">
        <v>363</v>
      </c>
      <c r="F139" s="16" t="s">
        <v>111</v>
      </c>
      <c r="G139" s="8" t="n">
        <f aca="false">IFERROR(INDEX(Familles!$D$5:$D$56,MATCH(F139,Familles!$A$5:$A$56,0)),"")</f>
        <v>600</v>
      </c>
      <c r="H139" s="16"/>
      <c r="I139" s="16"/>
      <c r="J139" s="8" t="n">
        <f aca="false">IF(AND(H139="",G139=""),"",IF(H139&lt;&gt;"",H139,G139)*IF(I139="oui",1+MajHNO,1))</f>
        <v>600</v>
      </c>
      <c r="K139" s="17" t="n">
        <f aca="false">IF(J139="","",J139/MinParPoint)</f>
        <v>40</v>
      </c>
    </row>
    <row r="140" customFormat="false" ht="15" hidden="false" customHeight="false" outlineLevel="0" collapsed="false">
      <c r="A140" s="15" t="s">
        <v>243</v>
      </c>
      <c r="B140" s="15" t="s">
        <v>421</v>
      </c>
      <c r="C140" s="15" t="s">
        <v>489</v>
      </c>
      <c r="D140" s="15" t="s">
        <v>490</v>
      </c>
      <c r="E140" s="15" t="s">
        <v>363</v>
      </c>
      <c r="F140" s="16" t="s">
        <v>109</v>
      </c>
      <c r="G140" s="8" t="n">
        <f aca="false">IFERROR(INDEX(Familles!$D$5:$D$56,MATCH(F140,Familles!$A$5:$A$56,0)),"")</f>
        <v>360</v>
      </c>
      <c r="H140" s="16"/>
      <c r="I140" s="16"/>
      <c r="J140" s="8" t="n">
        <f aca="false">IF(AND(H140="",G140=""),"",IF(H140&lt;&gt;"",H140,G140)*IF(I140="oui",1+MajHNO,1))</f>
        <v>360</v>
      </c>
      <c r="K140" s="17" t="n">
        <f aca="false">IF(J140="","",J140/MinParPoint)</f>
        <v>24</v>
      </c>
    </row>
    <row r="141" customFormat="false" ht="15" hidden="false" customHeight="false" outlineLevel="0" collapsed="false">
      <c r="A141" s="15" t="s">
        <v>243</v>
      </c>
      <c r="B141" s="15" t="s">
        <v>421</v>
      </c>
      <c r="C141" s="15" t="s">
        <v>491</v>
      </c>
      <c r="D141" s="15" t="s">
        <v>492</v>
      </c>
      <c r="E141" s="15" t="s">
        <v>363</v>
      </c>
      <c r="F141" s="16" t="s">
        <v>109</v>
      </c>
      <c r="G141" s="8" t="n">
        <f aca="false">IFERROR(INDEX(Familles!$D$5:$D$56,MATCH(F141,Familles!$A$5:$A$56,0)),"")</f>
        <v>360</v>
      </c>
      <c r="H141" s="16"/>
      <c r="I141" s="16"/>
      <c r="J141" s="8" t="n">
        <f aca="false">IF(AND(H141="",G141=""),"",IF(H141&lt;&gt;"",H141,G141)*IF(I141="oui",1+MajHNO,1))</f>
        <v>360</v>
      </c>
      <c r="K141" s="17" t="n">
        <f aca="false">IF(J141="","",J141/MinParPoint)</f>
        <v>24</v>
      </c>
    </row>
    <row r="142" customFormat="false" ht="15" hidden="false" customHeight="false" outlineLevel="0" collapsed="false">
      <c r="A142" s="15" t="s">
        <v>243</v>
      </c>
      <c r="B142" s="15" t="s">
        <v>421</v>
      </c>
      <c r="C142" s="15" t="s">
        <v>493</v>
      </c>
      <c r="D142" s="15" t="s">
        <v>494</v>
      </c>
      <c r="E142" s="15" t="s">
        <v>363</v>
      </c>
      <c r="F142" s="16" t="s">
        <v>107</v>
      </c>
      <c r="G142" s="8" t="n">
        <f aca="false">IFERROR(INDEX(Familles!$D$5:$D$56,MATCH(F142,Familles!$A$5:$A$56,0)),"")</f>
        <v>240</v>
      </c>
      <c r="H142" s="16"/>
      <c r="I142" s="16"/>
      <c r="J142" s="8" t="n">
        <f aca="false">IF(AND(H142="",G142=""),"",IF(H142&lt;&gt;"",H142,G142)*IF(I142="oui",1+MajHNO,1))</f>
        <v>240</v>
      </c>
      <c r="K142" s="17" t="n">
        <f aca="false">IF(J142="","",J142/MinParPoint)</f>
        <v>16</v>
      </c>
    </row>
    <row r="143" customFormat="false" ht="15" hidden="false" customHeight="false" outlineLevel="0" collapsed="false">
      <c r="A143" s="15" t="s">
        <v>243</v>
      </c>
      <c r="B143" s="15" t="s">
        <v>421</v>
      </c>
      <c r="C143" s="15" t="s">
        <v>495</v>
      </c>
      <c r="D143" s="15" t="s">
        <v>496</v>
      </c>
      <c r="E143" s="15" t="s">
        <v>363</v>
      </c>
      <c r="F143" s="16" t="s">
        <v>107</v>
      </c>
      <c r="G143" s="8" t="n">
        <f aca="false">IFERROR(INDEX(Familles!$D$5:$D$56,MATCH(F143,Familles!$A$5:$A$56,0)),"")</f>
        <v>240</v>
      </c>
      <c r="H143" s="16"/>
      <c r="I143" s="16"/>
      <c r="J143" s="8" t="n">
        <f aca="false">IF(AND(H143="",G143=""),"",IF(H143&lt;&gt;"",H143,G143)*IF(I143="oui",1+MajHNO,1))</f>
        <v>240</v>
      </c>
      <c r="K143" s="17" t="n">
        <f aca="false">IF(J143="","",J143/MinParPoint)</f>
        <v>16</v>
      </c>
    </row>
    <row r="144" customFormat="false" ht="15" hidden="false" customHeight="false" outlineLevel="0" collapsed="false">
      <c r="A144" s="15" t="s">
        <v>243</v>
      </c>
      <c r="B144" s="15" t="s">
        <v>421</v>
      </c>
      <c r="C144" s="15" t="s">
        <v>497</v>
      </c>
      <c r="D144" s="15" t="s">
        <v>498</v>
      </c>
      <c r="E144" s="15" t="s">
        <v>363</v>
      </c>
      <c r="F144" s="16" t="s">
        <v>107</v>
      </c>
      <c r="G144" s="8" t="n">
        <f aca="false">IFERROR(INDEX(Familles!$D$5:$D$56,MATCH(F144,Familles!$A$5:$A$56,0)),"")</f>
        <v>240</v>
      </c>
      <c r="H144" s="16"/>
      <c r="I144" s="16"/>
      <c r="J144" s="8" t="n">
        <f aca="false">IF(AND(H144="",G144=""),"",IF(H144&lt;&gt;"",H144,G144)*IF(I144="oui",1+MajHNO,1))</f>
        <v>240</v>
      </c>
      <c r="K144" s="17" t="n">
        <f aca="false">IF(J144="","",J144/MinParPoint)</f>
        <v>16</v>
      </c>
    </row>
    <row r="145" customFormat="false" ht="15" hidden="false" customHeight="false" outlineLevel="0" collapsed="false">
      <c r="A145" s="15" t="s">
        <v>243</v>
      </c>
      <c r="B145" s="15" t="s">
        <v>421</v>
      </c>
      <c r="C145" s="15" t="s">
        <v>499</v>
      </c>
      <c r="D145" s="15" t="s">
        <v>500</v>
      </c>
      <c r="E145" s="15" t="s">
        <v>363</v>
      </c>
      <c r="F145" s="16" t="s">
        <v>103</v>
      </c>
      <c r="G145" s="8" t="n">
        <f aca="false">IFERROR(INDEX(Familles!$D$5:$D$56,MATCH(F145,Familles!$A$5:$A$56,0)),"")</f>
        <v>120</v>
      </c>
      <c r="H145" s="16"/>
      <c r="I145" s="16"/>
      <c r="J145" s="8" t="n">
        <f aca="false">IF(AND(H145="",G145=""),"",IF(H145&lt;&gt;"",H145,G145)*IF(I145="oui",1+MajHNO,1))</f>
        <v>120</v>
      </c>
      <c r="K145" s="17" t="n">
        <f aca="false">IF(J145="","",J145/MinParPoint)</f>
        <v>8</v>
      </c>
    </row>
    <row r="146" customFormat="false" ht="15" hidden="false" customHeight="false" outlineLevel="0" collapsed="false">
      <c r="A146" s="15" t="s">
        <v>243</v>
      </c>
      <c r="B146" s="15" t="s">
        <v>421</v>
      </c>
      <c r="C146" s="15" t="s">
        <v>501</v>
      </c>
      <c r="D146" s="15" t="s">
        <v>502</v>
      </c>
      <c r="E146" s="15" t="s">
        <v>363</v>
      </c>
      <c r="F146" s="16" t="s">
        <v>103</v>
      </c>
      <c r="G146" s="8" t="n">
        <f aca="false">IFERROR(INDEX(Familles!$D$5:$D$56,MATCH(F146,Familles!$A$5:$A$56,0)),"")</f>
        <v>120</v>
      </c>
      <c r="H146" s="16"/>
      <c r="I146" s="16"/>
      <c r="J146" s="8" t="n">
        <f aca="false">IF(AND(H146="",G146=""),"",IF(H146&lt;&gt;"",H146,G146)*IF(I146="oui",1+MajHNO,1))</f>
        <v>120</v>
      </c>
      <c r="K146" s="17" t="n">
        <f aca="false">IF(J146="","",J146/MinParPoint)</f>
        <v>8</v>
      </c>
    </row>
    <row r="147" customFormat="false" ht="15" hidden="false" customHeight="false" outlineLevel="0" collapsed="false">
      <c r="A147" s="15" t="s">
        <v>243</v>
      </c>
      <c r="B147" s="15" t="s">
        <v>421</v>
      </c>
      <c r="C147" s="15" t="s">
        <v>503</v>
      </c>
      <c r="D147" s="15" t="s">
        <v>504</v>
      </c>
      <c r="E147" s="15" t="s">
        <v>363</v>
      </c>
      <c r="F147" s="16" t="s">
        <v>103</v>
      </c>
      <c r="G147" s="8" t="n">
        <f aca="false">IFERROR(INDEX(Familles!$D$5:$D$56,MATCH(F147,Familles!$A$5:$A$56,0)),"")</f>
        <v>120</v>
      </c>
      <c r="H147" s="16"/>
      <c r="I147" s="16"/>
      <c r="J147" s="8" t="n">
        <f aca="false">IF(AND(H147="",G147=""),"",IF(H147&lt;&gt;"",H147,G147)*IF(I147="oui",1+MajHNO,1))</f>
        <v>120</v>
      </c>
      <c r="K147" s="17" t="n">
        <f aca="false">IF(J147="","",J147/MinParPoint)</f>
        <v>8</v>
      </c>
    </row>
    <row r="148" customFormat="false" ht="15" hidden="false" customHeight="false" outlineLevel="0" collapsed="false">
      <c r="A148" s="15" t="s">
        <v>243</v>
      </c>
      <c r="B148" s="15" t="s">
        <v>421</v>
      </c>
      <c r="C148" s="15" t="s">
        <v>505</v>
      </c>
      <c r="D148" s="15" t="s">
        <v>506</v>
      </c>
      <c r="E148" s="15" t="s">
        <v>363</v>
      </c>
      <c r="F148" s="16" t="s">
        <v>103</v>
      </c>
      <c r="G148" s="8" t="n">
        <f aca="false">IFERROR(INDEX(Familles!$D$5:$D$56,MATCH(F148,Familles!$A$5:$A$56,0)),"")</f>
        <v>120</v>
      </c>
      <c r="H148" s="16"/>
      <c r="I148" s="16"/>
      <c r="J148" s="8" t="n">
        <f aca="false">IF(AND(H148="",G148=""),"",IF(H148&lt;&gt;"",H148,G148)*IF(I148="oui",1+MajHNO,1))</f>
        <v>120</v>
      </c>
      <c r="K148" s="17" t="n">
        <f aca="false">IF(J148="","",J148/MinParPoint)</f>
        <v>8</v>
      </c>
    </row>
    <row r="149" customFormat="false" ht="15" hidden="false" customHeight="false" outlineLevel="0" collapsed="false">
      <c r="A149" s="15" t="s">
        <v>243</v>
      </c>
      <c r="B149" s="15" t="s">
        <v>421</v>
      </c>
      <c r="C149" s="15" t="s">
        <v>507</v>
      </c>
      <c r="D149" s="15" t="s">
        <v>508</v>
      </c>
      <c r="E149" s="15" t="s">
        <v>363</v>
      </c>
      <c r="F149" s="16" t="s">
        <v>103</v>
      </c>
      <c r="G149" s="8" t="n">
        <f aca="false">IFERROR(INDEX(Familles!$D$5:$D$56,MATCH(F149,Familles!$A$5:$A$56,0)),"")</f>
        <v>120</v>
      </c>
      <c r="H149" s="16"/>
      <c r="I149" s="16"/>
      <c r="J149" s="8" t="n">
        <f aca="false">IF(AND(H149="",G149=""),"",IF(H149&lt;&gt;"",H149,G149)*IF(I149="oui",1+MajHNO,1))</f>
        <v>120</v>
      </c>
      <c r="K149" s="17" t="n">
        <f aca="false">IF(J149="","",J149/MinParPoint)</f>
        <v>8</v>
      </c>
    </row>
    <row r="150" customFormat="false" ht="15" hidden="false" customHeight="false" outlineLevel="0" collapsed="false">
      <c r="A150" s="15" t="s">
        <v>243</v>
      </c>
      <c r="B150" s="15" t="s">
        <v>421</v>
      </c>
      <c r="C150" s="15" t="s">
        <v>509</v>
      </c>
      <c r="D150" s="15" t="s">
        <v>510</v>
      </c>
      <c r="E150" s="15" t="s">
        <v>363</v>
      </c>
      <c r="F150" s="16" t="s">
        <v>111</v>
      </c>
      <c r="G150" s="8" t="n">
        <f aca="false">IFERROR(INDEX(Familles!$D$5:$D$56,MATCH(F150,Familles!$A$5:$A$56,0)),"")</f>
        <v>600</v>
      </c>
      <c r="H150" s="16"/>
      <c r="I150" s="16"/>
      <c r="J150" s="8" t="n">
        <f aca="false">IF(AND(H150="",G150=""),"",IF(H150&lt;&gt;"",H150,G150)*IF(I150="oui",1+MajHNO,1))</f>
        <v>600</v>
      </c>
      <c r="K150" s="17" t="n">
        <f aca="false">IF(J150="","",J150/MinParPoint)</f>
        <v>40</v>
      </c>
    </row>
    <row r="151" customFormat="false" ht="15" hidden="false" customHeight="false" outlineLevel="0" collapsed="false">
      <c r="A151" s="15" t="s">
        <v>243</v>
      </c>
      <c r="B151" s="15" t="s">
        <v>421</v>
      </c>
      <c r="C151" s="15" t="s">
        <v>511</v>
      </c>
      <c r="D151" s="15" t="s">
        <v>512</v>
      </c>
      <c r="E151" s="15" t="s">
        <v>363</v>
      </c>
      <c r="F151" s="16" t="s">
        <v>111</v>
      </c>
      <c r="G151" s="8" t="n">
        <f aca="false">IFERROR(INDEX(Familles!$D$5:$D$56,MATCH(F151,Familles!$A$5:$A$56,0)),"")</f>
        <v>600</v>
      </c>
      <c r="H151" s="16"/>
      <c r="I151" s="16"/>
      <c r="J151" s="8" t="n">
        <f aca="false">IF(AND(H151="",G151=""),"",IF(H151&lt;&gt;"",H151,G151)*IF(I151="oui",1+MajHNO,1))</f>
        <v>600</v>
      </c>
      <c r="K151" s="17" t="n">
        <f aca="false">IF(J151="","",J151/MinParPoint)</f>
        <v>40</v>
      </c>
    </row>
    <row r="152" customFormat="false" ht="15" hidden="false" customHeight="false" outlineLevel="0" collapsed="false">
      <c r="A152" s="15" t="s">
        <v>243</v>
      </c>
      <c r="B152" s="15" t="s">
        <v>421</v>
      </c>
      <c r="C152" s="15" t="s">
        <v>513</v>
      </c>
      <c r="D152" s="15" t="s">
        <v>514</v>
      </c>
      <c r="E152" s="15" t="s">
        <v>363</v>
      </c>
      <c r="F152" s="16" t="s">
        <v>111</v>
      </c>
      <c r="G152" s="8" t="n">
        <f aca="false">IFERROR(INDEX(Familles!$D$5:$D$56,MATCH(F152,Familles!$A$5:$A$56,0)),"")</f>
        <v>600</v>
      </c>
      <c r="H152" s="16"/>
      <c r="I152" s="16"/>
      <c r="J152" s="8" t="n">
        <f aca="false">IF(AND(H152="",G152=""),"",IF(H152&lt;&gt;"",H152,G152)*IF(I152="oui",1+MajHNO,1))</f>
        <v>600</v>
      </c>
      <c r="K152" s="17" t="n">
        <f aca="false">IF(J152="","",J152/MinParPoint)</f>
        <v>40</v>
      </c>
    </row>
    <row r="153" customFormat="false" ht="15" hidden="false" customHeight="false" outlineLevel="0" collapsed="false">
      <c r="A153" s="15" t="s">
        <v>243</v>
      </c>
      <c r="B153" s="15" t="s">
        <v>421</v>
      </c>
      <c r="C153" s="15" t="s">
        <v>515</v>
      </c>
      <c r="D153" s="15" t="s">
        <v>516</v>
      </c>
      <c r="E153" s="15" t="s">
        <v>363</v>
      </c>
      <c r="F153" s="16" t="s">
        <v>111</v>
      </c>
      <c r="G153" s="8" t="n">
        <f aca="false">IFERROR(INDEX(Familles!$D$5:$D$56,MATCH(F153,Familles!$A$5:$A$56,0)),"")</f>
        <v>600</v>
      </c>
      <c r="H153" s="16"/>
      <c r="I153" s="16"/>
      <c r="J153" s="8" t="n">
        <f aca="false">IF(AND(H153="",G153=""),"",IF(H153&lt;&gt;"",H153,G153)*IF(I153="oui",1+MajHNO,1))</f>
        <v>600</v>
      </c>
      <c r="K153" s="17" t="n">
        <f aca="false">IF(J153="","",J153/MinParPoint)</f>
        <v>40</v>
      </c>
    </row>
    <row r="154" customFormat="false" ht="15" hidden="false" customHeight="false" outlineLevel="0" collapsed="false">
      <c r="A154" s="15" t="s">
        <v>243</v>
      </c>
      <c r="B154" s="15" t="s">
        <v>421</v>
      </c>
      <c r="C154" s="15" t="s">
        <v>517</v>
      </c>
      <c r="D154" s="15" t="s">
        <v>518</v>
      </c>
      <c r="E154" s="15" t="s">
        <v>363</v>
      </c>
      <c r="F154" s="16" t="s">
        <v>109</v>
      </c>
      <c r="G154" s="8" t="n">
        <f aca="false">IFERROR(INDEX(Familles!$D$5:$D$56,MATCH(F154,Familles!$A$5:$A$56,0)),"")</f>
        <v>360</v>
      </c>
      <c r="H154" s="16"/>
      <c r="I154" s="16"/>
      <c r="J154" s="8" t="n">
        <f aca="false">IF(AND(H154="",G154=""),"",IF(H154&lt;&gt;"",H154,G154)*IF(I154="oui",1+MajHNO,1))</f>
        <v>360</v>
      </c>
      <c r="K154" s="17" t="n">
        <f aca="false">IF(J154="","",J154/MinParPoint)</f>
        <v>24</v>
      </c>
    </row>
    <row r="155" customFormat="false" ht="15" hidden="false" customHeight="false" outlineLevel="0" collapsed="false">
      <c r="A155" s="15" t="s">
        <v>243</v>
      </c>
      <c r="B155" s="15" t="s">
        <v>421</v>
      </c>
      <c r="C155" s="15" t="s">
        <v>519</v>
      </c>
      <c r="D155" s="15" t="s">
        <v>520</v>
      </c>
      <c r="E155" s="15" t="s">
        <v>363</v>
      </c>
      <c r="F155" s="16" t="s">
        <v>109</v>
      </c>
      <c r="G155" s="8" t="n">
        <f aca="false">IFERROR(INDEX(Familles!$D$5:$D$56,MATCH(F155,Familles!$A$5:$A$56,0)),"")</f>
        <v>360</v>
      </c>
      <c r="H155" s="16"/>
      <c r="I155" s="16"/>
      <c r="J155" s="8" t="n">
        <f aca="false">IF(AND(H155="",G155=""),"",IF(H155&lt;&gt;"",H155,G155)*IF(I155="oui",1+MajHNO,1))</f>
        <v>360</v>
      </c>
      <c r="K155" s="17" t="n">
        <f aca="false">IF(J155="","",J155/MinParPoint)</f>
        <v>24</v>
      </c>
    </row>
    <row r="156" customFormat="false" ht="15" hidden="false" customHeight="false" outlineLevel="0" collapsed="false">
      <c r="A156" s="15" t="s">
        <v>243</v>
      </c>
      <c r="B156" s="15" t="s">
        <v>421</v>
      </c>
      <c r="C156" s="15" t="s">
        <v>521</v>
      </c>
      <c r="D156" s="15" t="s">
        <v>522</v>
      </c>
      <c r="E156" s="15" t="s">
        <v>363</v>
      </c>
      <c r="F156" s="16" t="s">
        <v>107</v>
      </c>
      <c r="G156" s="8" t="n">
        <f aca="false">IFERROR(INDEX(Familles!$D$5:$D$56,MATCH(F156,Familles!$A$5:$A$56,0)),"")</f>
        <v>240</v>
      </c>
      <c r="H156" s="16"/>
      <c r="I156" s="16"/>
      <c r="J156" s="8" t="n">
        <f aca="false">IF(AND(H156="",G156=""),"",IF(H156&lt;&gt;"",H156,G156)*IF(I156="oui",1+MajHNO,1))</f>
        <v>240</v>
      </c>
      <c r="K156" s="17" t="n">
        <f aca="false">IF(J156="","",J156/MinParPoint)</f>
        <v>16</v>
      </c>
    </row>
    <row r="157" customFormat="false" ht="15" hidden="false" customHeight="false" outlineLevel="0" collapsed="false">
      <c r="A157" s="15" t="s">
        <v>243</v>
      </c>
      <c r="B157" s="15" t="s">
        <v>421</v>
      </c>
      <c r="C157" s="15" t="s">
        <v>523</v>
      </c>
      <c r="D157" s="15" t="s">
        <v>524</v>
      </c>
      <c r="E157" s="15" t="s">
        <v>363</v>
      </c>
      <c r="F157" s="16" t="s">
        <v>107</v>
      </c>
      <c r="G157" s="8" t="n">
        <f aca="false">IFERROR(INDEX(Familles!$D$5:$D$56,MATCH(F157,Familles!$A$5:$A$56,0)),"")</f>
        <v>240</v>
      </c>
      <c r="H157" s="16"/>
      <c r="I157" s="16"/>
      <c r="J157" s="8" t="n">
        <f aca="false">IF(AND(H157="",G157=""),"",IF(H157&lt;&gt;"",H157,G157)*IF(I157="oui",1+MajHNO,1))</f>
        <v>240</v>
      </c>
      <c r="K157" s="17" t="n">
        <f aca="false">IF(J157="","",J157/MinParPoint)</f>
        <v>16</v>
      </c>
    </row>
    <row r="158" customFormat="false" ht="15" hidden="false" customHeight="false" outlineLevel="0" collapsed="false">
      <c r="A158" s="15" t="s">
        <v>243</v>
      </c>
      <c r="B158" s="15" t="s">
        <v>421</v>
      </c>
      <c r="C158" s="15" t="s">
        <v>525</v>
      </c>
      <c r="D158" s="15" t="s">
        <v>526</v>
      </c>
      <c r="E158" s="15" t="s">
        <v>363</v>
      </c>
      <c r="F158" s="16" t="s">
        <v>107</v>
      </c>
      <c r="G158" s="8" t="n">
        <f aca="false">IFERROR(INDEX(Familles!$D$5:$D$56,MATCH(F158,Familles!$A$5:$A$56,0)),"")</f>
        <v>240</v>
      </c>
      <c r="H158" s="16"/>
      <c r="I158" s="16"/>
      <c r="J158" s="8" t="n">
        <f aca="false">IF(AND(H158="",G158=""),"",IF(H158&lt;&gt;"",H158,G158)*IF(I158="oui",1+MajHNO,1))</f>
        <v>240</v>
      </c>
      <c r="K158" s="17" t="n">
        <f aca="false">IF(J158="","",J158/MinParPoint)</f>
        <v>16</v>
      </c>
    </row>
    <row r="159" customFormat="false" ht="15" hidden="false" customHeight="false" outlineLevel="0" collapsed="false">
      <c r="A159" s="15" t="s">
        <v>243</v>
      </c>
      <c r="B159" s="15" t="s">
        <v>421</v>
      </c>
      <c r="C159" s="15" t="s">
        <v>527</v>
      </c>
      <c r="D159" s="15" t="s">
        <v>528</v>
      </c>
      <c r="E159" s="15" t="s">
        <v>363</v>
      </c>
      <c r="F159" s="16" t="s">
        <v>103</v>
      </c>
      <c r="G159" s="8" t="n">
        <f aca="false">IFERROR(INDEX(Familles!$D$5:$D$56,MATCH(F159,Familles!$A$5:$A$56,0)),"")</f>
        <v>120</v>
      </c>
      <c r="H159" s="16"/>
      <c r="I159" s="16"/>
      <c r="J159" s="8" t="n">
        <f aca="false">IF(AND(H159="",G159=""),"",IF(H159&lt;&gt;"",H159,G159)*IF(I159="oui",1+MajHNO,1))</f>
        <v>120</v>
      </c>
      <c r="K159" s="17" t="n">
        <f aca="false">IF(J159="","",J159/MinParPoint)</f>
        <v>8</v>
      </c>
    </row>
    <row r="160" customFormat="false" ht="15" hidden="false" customHeight="false" outlineLevel="0" collapsed="false">
      <c r="A160" s="15" t="s">
        <v>243</v>
      </c>
      <c r="B160" s="15" t="s">
        <v>421</v>
      </c>
      <c r="C160" s="15" t="s">
        <v>529</v>
      </c>
      <c r="D160" s="15" t="s">
        <v>530</v>
      </c>
      <c r="E160" s="15" t="s">
        <v>363</v>
      </c>
      <c r="F160" s="16" t="s">
        <v>103</v>
      </c>
      <c r="G160" s="8" t="n">
        <f aca="false">IFERROR(INDEX(Familles!$D$5:$D$56,MATCH(F160,Familles!$A$5:$A$56,0)),"")</f>
        <v>120</v>
      </c>
      <c r="H160" s="16"/>
      <c r="I160" s="16"/>
      <c r="J160" s="8" t="n">
        <f aca="false">IF(AND(H160="",G160=""),"",IF(H160&lt;&gt;"",H160,G160)*IF(I160="oui",1+MajHNO,1))</f>
        <v>120</v>
      </c>
      <c r="K160" s="17" t="n">
        <f aca="false">IF(J160="","",J160/MinParPoint)</f>
        <v>8</v>
      </c>
    </row>
    <row r="161" customFormat="false" ht="15" hidden="false" customHeight="false" outlineLevel="0" collapsed="false">
      <c r="A161" s="15" t="s">
        <v>243</v>
      </c>
      <c r="B161" s="15" t="s">
        <v>421</v>
      </c>
      <c r="C161" s="15" t="s">
        <v>531</v>
      </c>
      <c r="D161" s="15" t="s">
        <v>532</v>
      </c>
      <c r="E161" s="15" t="s">
        <v>363</v>
      </c>
      <c r="F161" s="16" t="s">
        <v>103</v>
      </c>
      <c r="G161" s="8" t="n">
        <f aca="false">IFERROR(INDEX(Familles!$D$5:$D$56,MATCH(F161,Familles!$A$5:$A$56,0)),"")</f>
        <v>120</v>
      </c>
      <c r="H161" s="16"/>
      <c r="I161" s="16"/>
      <c r="J161" s="8" t="n">
        <f aca="false">IF(AND(H161="",G161=""),"",IF(H161&lt;&gt;"",H161,G161)*IF(I161="oui",1+MajHNO,1))</f>
        <v>120</v>
      </c>
      <c r="K161" s="17" t="n">
        <f aca="false">IF(J161="","",J161/MinParPoint)</f>
        <v>8</v>
      </c>
    </row>
    <row r="162" customFormat="false" ht="15" hidden="false" customHeight="false" outlineLevel="0" collapsed="false">
      <c r="A162" s="15" t="s">
        <v>243</v>
      </c>
      <c r="B162" s="15" t="s">
        <v>421</v>
      </c>
      <c r="C162" s="15" t="s">
        <v>533</v>
      </c>
      <c r="D162" s="15" t="s">
        <v>534</v>
      </c>
      <c r="E162" s="15" t="s">
        <v>363</v>
      </c>
      <c r="F162" s="16" t="s">
        <v>103</v>
      </c>
      <c r="G162" s="8" t="n">
        <f aca="false">IFERROR(INDEX(Familles!$D$5:$D$56,MATCH(F162,Familles!$A$5:$A$56,0)),"")</f>
        <v>120</v>
      </c>
      <c r="H162" s="16"/>
      <c r="I162" s="16"/>
      <c r="J162" s="8" t="n">
        <f aca="false">IF(AND(H162="",G162=""),"",IF(H162&lt;&gt;"",H162,G162)*IF(I162="oui",1+MajHNO,1))</f>
        <v>120</v>
      </c>
      <c r="K162" s="17" t="n">
        <f aca="false">IF(J162="","",J162/MinParPoint)</f>
        <v>8</v>
      </c>
    </row>
    <row r="163" customFormat="false" ht="15" hidden="false" customHeight="false" outlineLevel="0" collapsed="false">
      <c r="A163" s="15" t="s">
        <v>243</v>
      </c>
      <c r="B163" s="15" t="s">
        <v>421</v>
      </c>
      <c r="C163" s="15" t="s">
        <v>535</v>
      </c>
      <c r="D163" s="15" t="s">
        <v>536</v>
      </c>
      <c r="E163" s="15" t="s">
        <v>537</v>
      </c>
      <c r="F163" s="16" t="s">
        <v>99</v>
      </c>
      <c r="G163" s="8" t="n">
        <f aca="false">IFERROR(INDEX(Familles!$D$5:$D$56,MATCH(F163,Familles!$A$5:$A$56,0)),"")</f>
        <v>3</v>
      </c>
      <c r="H163" s="16"/>
      <c r="I163" s="16"/>
      <c r="J163" s="8" t="n">
        <f aca="false">IF(AND(H163="",G163=""),"",IF(H163&lt;&gt;"",H163,G163)*IF(I163="oui",1+MajHNO,1))</f>
        <v>3</v>
      </c>
      <c r="K163" s="17" t="n">
        <f aca="false">IF(J163="","",J163/MinParPoint)</f>
        <v>0.2</v>
      </c>
    </row>
    <row r="164" customFormat="false" ht="15" hidden="false" customHeight="false" outlineLevel="0" collapsed="false">
      <c r="A164" s="15" t="s">
        <v>243</v>
      </c>
      <c r="B164" s="15" t="s">
        <v>421</v>
      </c>
      <c r="C164" s="15" t="s">
        <v>538</v>
      </c>
      <c r="D164" s="15" t="s">
        <v>539</v>
      </c>
      <c r="E164" s="15" t="s">
        <v>363</v>
      </c>
      <c r="F164" s="16" t="s">
        <v>111</v>
      </c>
      <c r="G164" s="8" t="n">
        <f aca="false">IFERROR(INDEX(Familles!$D$5:$D$56,MATCH(F164,Familles!$A$5:$A$56,0)),"")</f>
        <v>600</v>
      </c>
      <c r="H164" s="16"/>
      <c r="I164" s="16"/>
      <c r="J164" s="8" t="n">
        <f aca="false">IF(AND(H164="",G164=""),"",IF(H164&lt;&gt;"",H164,G164)*IF(I164="oui",1+MajHNO,1))</f>
        <v>600</v>
      </c>
      <c r="K164" s="17" t="n">
        <f aca="false">IF(J164="","",J164/MinParPoint)</f>
        <v>40</v>
      </c>
    </row>
    <row r="165" customFormat="false" ht="15" hidden="false" customHeight="false" outlineLevel="0" collapsed="false">
      <c r="A165" s="15" t="s">
        <v>243</v>
      </c>
      <c r="B165" s="15" t="s">
        <v>421</v>
      </c>
      <c r="C165" s="15" t="s">
        <v>540</v>
      </c>
      <c r="D165" s="15" t="s">
        <v>541</v>
      </c>
      <c r="E165" s="15" t="s">
        <v>363</v>
      </c>
      <c r="F165" s="16" t="s">
        <v>111</v>
      </c>
      <c r="G165" s="8" t="n">
        <f aca="false">IFERROR(INDEX(Familles!$D$5:$D$56,MATCH(F165,Familles!$A$5:$A$56,0)),"")</f>
        <v>600</v>
      </c>
      <c r="H165" s="16"/>
      <c r="I165" s="16"/>
      <c r="J165" s="8" t="n">
        <f aca="false">IF(AND(H165="",G165=""),"",IF(H165&lt;&gt;"",H165,G165)*IF(I165="oui",1+MajHNO,1))</f>
        <v>600</v>
      </c>
      <c r="K165" s="17" t="n">
        <f aca="false">IF(J165="","",J165/MinParPoint)</f>
        <v>40</v>
      </c>
    </row>
    <row r="166" customFormat="false" ht="15" hidden="false" customHeight="false" outlineLevel="0" collapsed="false">
      <c r="A166" s="15" t="s">
        <v>243</v>
      </c>
      <c r="B166" s="15" t="s">
        <v>421</v>
      </c>
      <c r="C166" s="15" t="s">
        <v>542</v>
      </c>
      <c r="D166" s="15" t="s">
        <v>543</v>
      </c>
      <c r="E166" s="15" t="s">
        <v>363</v>
      </c>
      <c r="F166" s="16" t="s">
        <v>111</v>
      </c>
      <c r="G166" s="8" t="n">
        <f aca="false">IFERROR(INDEX(Familles!$D$5:$D$56,MATCH(F166,Familles!$A$5:$A$56,0)),"")</f>
        <v>600</v>
      </c>
      <c r="H166" s="16"/>
      <c r="I166" s="16"/>
      <c r="J166" s="8" t="n">
        <f aca="false">IF(AND(H166="",G166=""),"",IF(H166&lt;&gt;"",H166,G166)*IF(I166="oui",1+MajHNO,1))</f>
        <v>600</v>
      </c>
      <c r="K166" s="17" t="n">
        <f aca="false">IF(J166="","",J166/MinParPoint)</f>
        <v>40</v>
      </c>
    </row>
    <row r="167" customFormat="false" ht="15" hidden="false" customHeight="false" outlineLevel="0" collapsed="false">
      <c r="A167" s="15" t="s">
        <v>243</v>
      </c>
      <c r="B167" s="15" t="s">
        <v>421</v>
      </c>
      <c r="C167" s="15" t="s">
        <v>544</v>
      </c>
      <c r="D167" s="15" t="s">
        <v>545</v>
      </c>
      <c r="E167" s="15" t="s">
        <v>363</v>
      </c>
      <c r="F167" s="16" t="s">
        <v>111</v>
      </c>
      <c r="G167" s="8" t="n">
        <f aca="false">IFERROR(INDEX(Familles!$D$5:$D$56,MATCH(F167,Familles!$A$5:$A$56,0)),"")</f>
        <v>600</v>
      </c>
      <c r="H167" s="16"/>
      <c r="I167" s="16"/>
      <c r="J167" s="8" t="n">
        <f aca="false">IF(AND(H167="",G167=""),"",IF(H167&lt;&gt;"",H167,G167)*IF(I167="oui",1+MajHNO,1))</f>
        <v>600</v>
      </c>
      <c r="K167" s="17" t="n">
        <f aca="false">IF(J167="","",J167/MinParPoint)</f>
        <v>40</v>
      </c>
    </row>
    <row r="168" customFormat="false" ht="15" hidden="false" customHeight="false" outlineLevel="0" collapsed="false">
      <c r="A168" s="15" t="s">
        <v>243</v>
      </c>
      <c r="B168" s="15" t="s">
        <v>421</v>
      </c>
      <c r="C168" s="15" t="s">
        <v>546</v>
      </c>
      <c r="D168" s="15" t="s">
        <v>547</v>
      </c>
      <c r="E168" s="15" t="s">
        <v>363</v>
      </c>
      <c r="F168" s="16" t="s">
        <v>109</v>
      </c>
      <c r="G168" s="8" t="n">
        <f aca="false">IFERROR(INDEX(Familles!$D$5:$D$56,MATCH(F168,Familles!$A$5:$A$56,0)),"")</f>
        <v>360</v>
      </c>
      <c r="H168" s="16"/>
      <c r="I168" s="16"/>
      <c r="J168" s="8" t="n">
        <f aca="false">IF(AND(H168="",G168=""),"",IF(H168&lt;&gt;"",H168,G168)*IF(I168="oui",1+MajHNO,1))</f>
        <v>360</v>
      </c>
      <c r="K168" s="17" t="n">
        <f aca="false">IF(J168="","",J168/MinParPoint)</f>
        <v>24</v>
      </c>
    </row>
    <row r="169" customFormat="false" ht="15" hidden="false" customHeight="false" outlineLevel="0" collapsed="false">
      <c r="A169" s="15" t="s">
        <v>243</v>
      </c>
      <c r="B169" s="15" t="s">
        <v>421</v>
      </c>
      <c r="C169" s="15" t="s">
        <v>548</v>
      </c>
      <c r="D169" s="15" t="s">
        <v>549</v>
      </c>
      <c r="E169" s="15" t="s">
        <v>363</v>
      </c>
      <c r="F169" s="16" t="s">
        <v>109</v>
      </c>
      <c r="G169" s="8" t="n">
        <f aca="false">IFERROR(INDEX(Familles!$D$5:$D$56,MATCH(F169,Familles!$A$5:$A$56,0)),"")</f>
        <v>360</v>
      </c>
      <c r="H169" s="16"/>
      <c r="I169" s="16"/>
      <c r="J169" s="8" t="n">
        <f aca="false">IF(AND(H169="",G169=""),"",IF(H169&lt;&gt;"",H169,G169)*IF(I169="oui",1+MajHNO,1))</f>
        <v>360</v>
      </c>
      <c r="K169" s="17" t="n">
        <f aca="false">IF(J169="","",J169/MinParPoint)</f>
        <v>24</v>
      </c>
    </row>
    <row r="170" customFormat="false" ht="15" hidden="false" customHeight="false" outlineLevel="0" collapsed="false">
      <c r="A170" s="15" t="s">
        <v>243</v>
      </c>
      <c r="B170" s="15" t="s">
        <v>421</v>
      </c>
      <c r="C170" s="15" t="s">
        <v>550</v>
      </c>
      <c r="D170" s="15" t="s">
        <v>551</v>
      </c>
      <c r="E170" s="15" t="s">
        <v>363</v>
      </c>
      <c r="F170" s="16" t="s">
        <v>107</v>
      </c>
      <c r="G170" s="8" t="n">
        <f aca="false">IFERROR(INDEX(Familles!$D$5:$D$56,MATCH(F170,Familles!$A$5:$A$56,0)),"")</f>
        <v>240</v>
      </c>
      <c r="H170" s="16"/>
      <c r="I170" s="16"/>
      <c r="J170" s="8" t="n">
        <f aca="false">IF(AND(H170="",G170=""),"",IF(H170&lt;&gt;"",H170,G170)*IF(I170="oui",1+MajHNO,1))</f>
        <v>240</v>
      </c>
      <c r="K170" s="17" t="n">
        <f aca="false">IF(J170="","",J170/MinParPoint)</f>
        <v>16</v>
      </c>
    </row>
    <row r="171" customFormat="false" ht="15" hidden="false" customHeight="false" outlineLevel="0" collapsed="false">
      <c r="A171" s="15" t="s">
        <v>243</v>
      </c>
      <c r="B171" s="15" t="s">
        <v>421</v>
      </c>
      <c r="C171" s="15" t="s">
        <v>552</v>
      </c>
      <c r="D171" s="15" t="s">
        <v>553</v>
      </c>
      <c r="E171" s="15" t="s">
        <v>363</v>
      </c>
      <c r="F171" s="16" t="s">
        <v>107</v>
      </c>
      <c r="G171" s="8" t="n">
        <f aca="false">IFERROR(INDEX(Familles!$D$5:$D$56,MATCH(F171,Familles!$A$5:$A$56,0)),"")</f>
        <v>240</v>
      </c>
      <c r="H171" s="16"/>
      <c r="I171" s="16"/>
      <c r="J171" s="8" t="n">
        <f aca="false">IF(AND(H171="",G171=""),"",IF(H171&lt;&gt;"",H171,G171)*IF(I171="oui",1+MajHNO,1))</f>
        <v>240</v>
      </c>
      <c r="K171" s="17" t="n">
        <f aca="false">IF(J171="","",J171/MinParPoint)</f>
        <v>16</v>
      </c>
    </row>
    <row r="172" customFormat="false" ht="15" hidden="false" customHeight="false" outlineLevel="0" collapsed="false">
      <c r="A172" s="15" t="s">
        <v>243</v>
      </c>
      <c r="B172" s="15" t="s">
        <v>421</v>
      </c>
      <c r="C172" s="15" t="s">
        <v>554</v>
      </c>
      <c r="D172" s="15" t="s">
        <v>555</v>
      </c>
      <c r="E172" s="15" t="s">
        <v>363</v>
      </c>
      <c r="F172" s="16" t="s">
        <v>107</v>
      </c>
      <c r="G172" s="8" t="n">
        <f aca="false">IFERROR(INDEX(Familles!$D$5:$D$56,MATCH(F172,Familles!$A$5:$A$56,0)),"")</f>
        <v>240</v>
      </c>
      <c r="H172" s="16"/>
      <c r="I172" s="16"/>
      <c r="J172" s="8" t="n">
        <f aca="false">IF(AND(H172="",G172=""),"",IF(H172&lt;&gt;"",H172,G172)*IF(I172="oui",1+MajHNO,1))</f>
        <v>240</v>
      </c>
      <c r="K172" s="17" t="n">
        <f aca="false">IF(J172="","",J172/MinParPoint)</f>
        <v>16</v>
      </c>
    </row>
    <row r="173" customFormat="false" ht="15" hidden="false" customHeight="false" outlineLevel="0" collapsed="false">
      <c r="A173" s="15" t="s">
        <v>243</v>
      </c>
      <c r="B173" s="15" t="s">
        <v>421</v>
      </c>
      <c r="C173" s="15" t="s">
        <v>556</v>
      </c>
      <c r="D173" s="15" t="s">
        <v>557</v>
      </c>
      <c r="E173" s="15" t="s">
        <v>363</v>
      </c>
      <c r="F173" s="16" t="s">
        <v>103</v>
      </c>
      <c r="G173" s="8" t="n">
        <f aca="false">IFERROR(INDEX(Familles!$D$5:$D$56,MATCH(F173,Familles!$A$5:$A$56,0)),"")</f>
        <v>120</v>
      </c>
      <c r="H173" s="16"/>
      <c r="I173" s="16"/>
      <c r="J173" s="8" t="n">
        <f aca="false">IF(AND(H173="",G173=""),"",IF(H173&lt;&gt;"",H173,G173)*IF(I173="oui",1+MajHNO,1))</f>
        <v>120</v>
      </c>
      <c r="K173" s="17" t="n">
        <f aca="false">IF(J173="","",J173/MinParPoint)</f>
        <v>8</v>
      </c>
    </row>
    <row r="174" customFormat="false" ht="15" hidden="false" customHeight="false" outlineLevel="0" collapsed="false">
      <c r="A174" s="15" t="s">
        <v>243</v>
      </c>
      <c r="B174" s="15" t="s">
        <v>421</v>
      </c>
      <c r="C174" s="15" t="s">
        <v>558</v>
      </c>
      <c r="D174" s="15" t="s">
        <v>559</v>
      </c>
      <c r="E174" s="15" t="s">
        <v>363</v>
      </c>
      <c r="F174" s="16" t="s">
        <v>103</v>
      </c>
      <c r="G174" s="8" t="n">
        <f aca="false">IFERROR(INDEX(Familles!$D$5:$D$56,MATCH(F174,Familles!$A$5:$A$56,0)),"")</f>
        <v>120</v>
      </c>
      <c r="H174" s="16"/>
      <c r="I174" s="16"/>
      <c r="J174" s="8" t="n">
        <f aca="false">IF(AND(H174="",G174=""),"",IF(H174&lt;&gt;"",H174,G174)*IF(I174="oui",1+MajHNO,1))</f>
        <v>120</v>
      </c>
      <c r="K174" s="17" t="n">
        <f aca="false">IF(J174="","",J174/MinParPoint)</f>
        <v>8</v>
      </c>
    </row>
    <row r="175" customFormat="false" ht="15" hidden="false" customHeight="false" outlineLevel="0" collapsed="false">
      <c r="A175" s="15" t="s">
        <v>243</v>
      </c>
      <c r="B175" s="15" t="s">
        <v>421</v>
      </c>
      <c r="C175" s="15" t="s">
        <v>560</v>
      </c>
      <c r="D175" s="15" t="s">
        <v>561</v>
      </c>
      <c r="E175" s="15" t="s">
        <v>363</v>
      </c>
      <c r="F175" s="16" t="s">
        <v>103</v>
      </c>
      <c r="G175" s="8" t="n">
        <f aca="false">IFERROR(INDEX(Familles!$D$5:$D$56,MATCH(F175,Familles!$A$5:$A$56,0)),"")</f>
        <v>120</v>
      </c>
      <c r="H175" s="16"/>
      <c r="I175" s="16"/>
      <c r="J175" s="8" t="n">
        <f aca="false">IF(AND(H175="",G175=""),"",IF(H175&lt;&gt;"",H175,G175)*IF(I175="oui",1+MajHNO,1))</f>
        <v>120</v>
      </c>
      <c r="K175" s="17" t="n">
        <f aca="false">IF(J175="","",J175/MinParPoint)</f>
        <v>8</v>
      </c>
    </row>
    <row r="176" customFormat="false" ht="15" hidden="false" customHeight="false" outlineLevel="0" collapsed="false">
      <c r="A176" s="15" t="s">
        <v>243</v>
      </c>
      <c r="B176" s="15" t="s">
        <v>421</v>
      </c>
      <c r="C176" s="15" t="s">
        <v>562</v>
      </c>
      <c r="D176" s="15" t="s">
        <v>563</v>
      </c>
      <c r="E176" s="15" t="s">
        <v>363</v>
      </c>
      <c r="F176" s="16" t="s">
        <v>103</v>
      </c>
      <c r="G176" s="8" t="n">
        <f aca="false">IFERROR(INDEX(Familles!$D$5:$D$56,MATCH(F176,Familles!$A$5:$A$56,0)),"")</f>
        <v>120</v>
      </c>
      <c r="H176" s="16"/>
      <c r="I176" s="16"/>
      <c r="J176" s="8" t="n">
        <f aca="false">IF(AND(H176="",G176=""),"",IF(H176&lt;&gt;"",H176,G176)*IF(I176="oui",1+MajHNO,1))</f>
        <v>120</v>
      </c>
      <c r="K176" s="17" t="n">
        <f aca="false">IF(J176="","",J176/MinParPoint)</f>
        <v>8</v>
      </c>
    </row>
    <row r="177" customFormat="false" ht="15" hidden="false" customHeight="false" outlineLevel="0" collapsed="false">
      <c r="A177" s="15" t="s">
        <v>243</v>
      </c>
      <c r="B177" s="15" t="s">
        <v>421</v>
      </c>
      <c r="C177" s="15" t="s">
        <v>564</v>
      </c>
      <c r="D177" s="15" t="s">
        <v>565</v>
      </c>
      <c r="E177" s="15" t="s">
        <v>537</v>
      </c>
      <c r="F177" s="16" t="s">
        <v>99</v>
      </c>
      <c r="G177" s="8" t="n">
        <f aca="false">IFERROR(INDEX(Familles!$D$5:$D$56,MATCH(F177,Familles!$A$5:$A$56,0)),"")</f>
        <v>3</v>
      </c>
      <c r="H177" s="16"/>
      <c r="I177" s="16"/>
      <c r="J177" s="8" t="n">
        <f aca="false">IF(AND(H177="",G177=""),"",IF(H177&lt;&gt;"",H177,G177)*IF(I177="oui",1+MajHNO,1))</f>
        <v>3</v>
      </c>
      <c r="K177" s="17" t="n">
        <f aca="false">IF(J177="","",J177/MinParPoint)</f>
        <v>0.2</v>
      </c>
    </row>
    <row r="178" customFormat="false" ht="15" hidden="false" customHeight="false" outlineLevel="0" collapsed="false">
      <c r="A178" s="15" t="s">
        <v>243</v>
      </c>
      <c r="B178" s="15" t="s">
        <v>421</v>
      </c>
      <c r="C178" s="15" t="s">
        <v>566</v>
      </c>
      <c r="D178" s="15" t="s">
        <v>567</v>
      </c>
      <c r="E178" s="15" t="s">
        <v>284</v>
      </c>
      <c r="F178" s="16" t="s">
        <v>114</v>
      </c>
      <c r="G178" s="8" t="n">
        <f aca="false">IFERROR(INDEX(Familles!$D$5:$D$56,MATCH(F178,Familles!$A$5:$A$56,0)),"")</f>
        <v>120</v>
      </c>
      <c r="H178" s="16"/>
      <c r="I178" s="16"/>
      <c r="J178" s="8" t="n">
        <f aca="false">IF(AND(H178="",G178=""),"",IF(H178&lt;&gt;"",H178,G178)*IF(I178="oui",1+MajHNO,1))</f>
        <v>120</v>
      </c>
      <c r="K178" s="17" t="n">
        <f aca="false">IF(J178="","",J178/MinParPoint)</f>
        <v>8</v>
      </c>
    </row>
    <row r="179" customFormat="false" ht="15" hidden="false" customHeight="false" outlineLevel="0" collapsed="false">
      <c r="A179" s="15" t="s">
        <v>243</v>
      </c>
      <c r="B179" s="15" t="s">
        <v>421</v>
      </c>
      <c r="C179" s="15" t="s">
        <v>568</v>
      </c>
      <c r="D179" s="15" t="s">
        <v>569</v>
      </c>
      <c r="E179" s="15" t="s">
        <v>363</v>
      </c>
      <c r="F179" s="16" t="s">
        <v>99</v>
      </c>
      <c r="G179" s="8" t="n">
        <f aca="false">IFERROR(INDEX(Familles!$D$5:$D$56,MATCH(F179,Familles!$A$5:$A$56,0)),"")</f>
        <v>3</v>
      </c>
      <c r="H179" s="16"/>
      <c r="I179" s="16"/>
      <c r="J179" s="8" t="n">
        <f aca="false">IF(AND(H179="",G179=""),"",IF(H179&lt;&gt;"",H179,G179)*IF(I179="oui",1+MajHNO,1))</f>
        <v>3</v>
      </c>
      <c r="K179" s="17" t="n">
        <f aca="false">IF(J179="","",J179/MinParPoint)</f>
        <v>0.2</v>
      </c>
    </row>
    <row r="180" customFormat="false" ht="15" hidden="false" customHeight="false" outlineLevel="0" collapsed="false">
      <c r="A180" s="15" t="s">
        <v>243</v>
      </c>
      <c r="B180" s="15" t="s">
        <v>421</v>
      </c>
      <c r="C180" s="15" t="s">
        <v>570</v>
      </c>
      <c r="D180" s="15" t="s">
        <v>571</v>
      </c>
      <c r="E180" s="15" t="s">
        <v>284</v>
      </c>
      <c r="F180" s="16" t="s">
        <v>114</v>
      </c>
      <c r="G180" s="8" t="n">
        <f aca="false">IFERROR(INDEX(Familles!$D$5:$D$56,MATCH(F180,Familles!$A$5:$A$56,0)),"")</f>
        <v>120</v>
      </c>
      <c r="H180" s="16"/>
      <c r="I180" s="16"/>
      <c r="J180" s="8" t="n">
        <f aca="false">IF(AND(H180="",G180=""),"",IF(H180&lt;&gt;"",H180,G180)*IF(I180="oui",1+MajHNO,1))</f>
        <v>120</v>
      </c>
      <c r="K180" s="17" t="n">
        <f aca="false">IF(J180="","",J180/MinParPoint)</f>
        <v>8</v>
      </c>
    </row>
    <row r="181" customFormat="false" ht="15" hidden="false" customHeight="false" outlineLevel="0" collapsed="false">
      <c r="A181" s="15" t="s">
        <v>243</v>
      </c>
      <c r="B181" s="15" t="s">
        <v>421</v>
      </c>
      <c r="C181" s="15" t="s">
        <v>572</v>
      </c>
      <c r="D181" s="15" t="s">
        <v>573</v>
      </c>
      <c r="E181" s="15" t="s">
        <v>363</v>
      </c>
      <c r="F181" s="16" t="s">
        <v>99</v>
      </c>
      <c r="G181" s="8" t="n">
        <f aca="false">IFERROR(INDEX(Familles!$D$5:$D$56,MATCH(F181,Familles!$A$5:$A$56,0)),"")</f>
        <v>3</v>
      </c>
      <c r="H181" s="16"/>
      <c r="I181" s="16"/>
      <c r="J181" s="8" t="n">
        <f aca="false">IF(AND(H181="",G181=""),"",IF(H181&lt;&gt;"",H181,G181)*IF(I181="oui",1+MajHNO,1))</f>
        <v>3</v>
      </c>
      <c r="K181" s="17" t="n">
        <f aca="false">IF(J181="","",J181/MinParPoint)</f>
        <v>0.2</v>
      </c>
    </row>
    <row r="182" customFormat="false" ht="15" hidden="false" customHeight="false" outlineLevel="0" collapsed="false">
      <c r="A182" s="15" t="s">
        <v>243</v>
      </c>
      <c r="B182" s="15" t="s">
        <v>421</v>
      </c>
      <c r="C182" s="15" t="s">
        <v>574</v>
      </c>
      <c r="D182" s="15" t="s">
        <v>575</v>
      </c>
      <c r="E182" s="15" t="s">
        <v>284</v>
      </c>
      <c r="F182" s="16" t="s">
        <v>114</v>
      </c>
      <c r="G182" s="8" t="n">
        <f aca="false">IFERROR(INDEX(Familles!$D$5:$D$56,MATCH(F182,Familles!$A$5:$A$56,0)),"")</f>
        <v>120</v>
      </c>
      <c r="H182" s="16"/>
      <c r="I182" s="16"/>
      <c r="J182" s="8" t="n">
        <f aca="false">IF(AND(H182="",G182=""),"",IF(H182&lt;&gt;"",H182,G182)*IF(I182="oui",1+MajHNO,1))</f>
        <v>120</v>
      </c>
      <c r="K182" s="17" t="n">
        <f aca="false">IF(J182="","",J182/MinParPoint)</f>
        <v>8</v>
      </c>
    </row>
    <row r="183" customFormat="false" ht="15" hidden="false" customHeight="false" outlineLevel="0" collapsed="false">
      <c r="A183" s="15" t="s">
        <v>243</v>
      </c>
      <c r="B183" s="15" t="s">
        <v>421</v>
      </c>
      <c r="C183" s="15" t="s">
        <v>576</v>
      </c>
      <c r="D183" s="15" t="s">
        <v>577</v>
      </c>
      <c r="E183" s="15" t="s">
        <v>363</v>
      </c>
      <c r="F183" s="16" t="s">
        <v>99</v>
      </c>
      <c r="G183" s="8" t="n">
        <f aca="false">IFERROR(INDEX(Familles!$D$5:$D$56,MATCH(F183,Familles!$A$5:$A$56,0)),"")</f>
        <v>3</v>
      </c>
      <c r="H183" s="16"/>
      <c r="I183" s="16"/>
      <c r="J183" s="8" t="n">
        <f aca="false">IF(AND(H183="",G183=""),"",IF(H183&lt;&gt;"",H183,G183)*IF(I183="oui",1+MajHNO,1))</f>
        <v>3</v>
      </c>
      <c r="K183" s="17" t="n">
        <f aca="false">IF(J183="","",J183/MinParPoint)</f>
        <v>0.2</v>
      </c>
    </row>
    <row r="184" customFormat="false" ht="15" hidden="false" customHeight="false" outlineLevel="0" collapsed="false">
      <c r="A184" s="15" t="s">
        <v>243</v>
      </c>
      <c r="B184" s="15" t="s">
        <v>421</v>
      </c>
      <c r="C184" s="15" t="s">
        <v>578</v>
      </c>
      <c r="D184" s="15" t="s">
        <v>118</v>
      </c>
      <c r="E184" s="15" t="s">
        <v>363</v>
      </c>
      <c r="F184" s="16" t="s">
        <v>117</v>
      </c>
      <c r="G184" s="8" t="n">
        <f aca="false">IFERROR(INDEX(Familles!$D$5:$D$56,MATCH(F184,Familles!$A$5:$A$56,0)),"")</f>
        <v>30</v>
      </c>
      <c r="H184" s="16"/>
      <c r="I184" s="16"/>
      <c r="J184" s="8" t="n">
        <f aca="false">IF(AND(H184="",G184=""),"",IF(H184&lt;&gt;"",H184,G184)*IF(I184="oui",1+MajHNO,1))</f>
        <v>30</v>
      </c>
      <c r="K184" s="17" t="n">
        <f aca="false">IF(J184="","",J184/MinParPoint)</f>
        <v>2</v>
      </c>
    </row>
    <row r="185" customFormat="false" ht="15" hidden="false" customHeight="false" outlineLevel="0" collapsed="false">
      <c r="A185" s="15" t="s">
        <v>243</v>
      </c>
      <c r="B185" s="15" t="s">
        <v>421</v>
      </c>
      <c r="C185" s="15" t="s">
        <v>579</v>
      </c>
      <c r="D185" s="15" t="s">
        <v>580</v>
      </c>
      <c r="E185" s="15" t="s">
        <v>284</v>
      </c>
      <c r="F185" s="16" t="s">
        <v>119</v>
      </c>
      <c r="G185" s="8" t="n">
        <f aca="false">IFERROR(INDEX(Familles!$D$5:$D$56,MATCH(F185,Familles!$A$5:$A$56,0)),"")</f>
        <v>90</v>
      </c>
      <c r="H185" s="16"/>
      <c r="I185" s="16"/>
      <c r="J185" s="8" t="n">
        <f aca="false">IF(AND(H185="",G185=""),"",IF(H185&lt;&gt;"",H185,G185)*IF(I185="oui",1+MajHNO,1))</f>
        <v>90</v>
      </c>
      <c r="K185" s="17" t="n">
        <f aca="false">IF(J185="","",J185/MinParPoint)</f>
        <v>6</v>
      </c>
    </row>
    <row r="186" customFormat="false" ht="15" hidden="false" customHeight="false" outlineLevel="0" collapsed="false">
      <c r="A186" s="15" t="s">
        <v>243</v>
      </c>
      <c r="B186" s="15" t="s">
        <v>421</v>
      </c>
      <c r="C186" s="15" t="s">
        <v>581</v>
      </c>
      <c r="D186" s="15" t="s">
        <v>582</v>
      </c>
      <c r="E186" s="15" t="s">
        <v>284</v>
      </c>
      <c r="F186" s="16" t="s">
        <v>119</v>
      </c>
      <c r="G186" s="8" t="n">
        <f aca="false">IFERROR(INDEX(Familles!$D$5:$D$56,MATCH(F186,Familles!$A$5:$A$56,0)),"")</f>
        <v>90</v>
      </c>
      <c r="H186" s="16"/>
      <c r="I186" s="16"/>
      <c r="J186" s="8" t="n">
        <f aca="false">IF(AND(H186="",G186=""),"",IF(H186&lt;&gt;"",H186,G186)*IF(I186="oui",1+MajHNO,1))</f>
        <v>90</v>
      </c>
      <c r="K186" s="17" t="n">
        <f aca="false">IF(J186="","",J186/MinParPoint)</f>
        <v>6</v>
      </c>
    </row>
    <row r="187" customFormat="false" ht="15" hidden="false" customHeight="false" outlineLevel="0" collapsed="false">
      <c r="A187" s="15" t="s">
        <v>243</v>
      </c>
      <c r="B187" s="15" t="s">
        <v>421</v>
      </c>
      <c r="C187" s="15" t="s">
        <v>583</v>
      </c>
      <c r="D187" s="15" t="s">
        <v>584</v>
      </c>
      <c r="E187" s="15" t="s">
        <v>284</v>
      </c>
      <c r="F187" s="16" t="s">
        <v>119</v>
      </c>
      <c r="G187" s="8" t="n">
        <f aca="false">IFERROR(INDEX(Familles!$D$5:$D$56,MATCH(F187,Familles!$A$5:$A$56,0)),"")</f>
        <v>90</v>
      </c>
      <c r="H187" s="16"/>
      <c r="I187" s="16"/>
      <c r="J187" s="8" t="n">
        <f aca="false">IF(AND(H187="",G187=""),"",IF(H187&lt;&gt;"",H187,G187)*IF(I187="oui",1+MajHNO,1))</f>
        <v>90</v>
      </c>
      <c r="K187" s="17" t="n">
        <f aca="false">IF(J187="","",J187/MinParPoint)</f>
        <v>6</v>
      </c>
    </row>
    <row r="188" customFormat="false" ht="15" hidden="false" customHeight="false" outlineLevel="0" collapsed="false">
      <c r="A188" s="15" t="s">
        <v>243</v>
      </c>
      <c r="B188" s="15" t="s">
        <v>421</v>
      </c>
      <c r="C188" s="15" t="s">
        <v>585</v>
      </c>
      <c r="D188" s="15" t="s">
        <v>586</v>
      </c>
      <c r="E188" s="15" t="s">
        <v>284</v>
      </c>
      <c r="F188" s="16" t="s">
        <v>121</v>
      </c>
      <c r="G188" s="8" t="n">
        <f aca="false">IFERROR(INDEX(Familles!$D$5:$D$56,MATCH(F188,Familles!$A$5:$A$56,0)),"")</f>
        <v>150</v>
      </c>
      <c r="H188" s="16"/>
      <c r="I188" s="16"/>
      <c r="J188" s="8" t="n">
        <f aca="false">IF(AND(H188="",G188=""),"",IF(H188&lt;&gt;"",H188,G188)*IF(I188="oui",1+MajHNO,1))</f>
        <v>150</v>
      </c>
      <c r="K188" s="17" t="n">
        <f aca="false">IF(J188="","",J188/MinParPoint)</f>
        <v>10</v>
      </c>
    </row>
    <row r="189" customFormat="false" ht="15" hidden="false" customHeight="false" outlineLevel="0" collapsed="false">
      <c r="A189" s="15" t="s">
        <v>243</v>
      </c>
      <c r="B189" s="15" t="s">
        <v>421</v>
      </c>
      <c r="C189" s="15" t="s">
        <v>587</v>
      </c>
      <c r="D189" s="15" t="s">
        <v>588</v>
      </c>
      <c r="E189" s="15" t="s">
        <v>284</v>
      </c>
      <c r="F189" s="16" t="s">
        <v>121</v>
      </c>
      <c r="G189" s="8" t="n">
        <f aca="false">IFERROR(INDEX(Familles!$D$5:$D$56,MATCH(F189,Familles!$A$5:$A$56,0)),"")</f>
        <v>150</v>
      </c>
      <c r="H189" s="16"/>
      <c r="I189" s="16"/>
      <c r="J189" s="8" t="n">
        <f aca="false">IF(AND(H189="",G189=""),"",IF(H189&lt;&gt;"",H189,G189)*IF(I189="oui",1+MajHNO,1))</f>
        <v>150</v>
      </c>
      <c r="K189" s="17" t="n">
        <f aca="false">IF(J189="","",J189/MinParPoint)</f>
        <v>10</v>
      </c>
    </row>
    <row r="190" customFormat="false" ht="15" hidden="false" customHeight="false" outlineLevel="0" collapsed="false">
      <c r="A190" s="15" t="s">
        <v>243</v>
      </c>
      <c r="B190" s="15" t="s">
        <v>421</v>
      </c>
      <c r="C190" s="15" t="s">
        <v>589</v>
      </c>
      <c r="D190" s="15" t="s">
        <v>590</v>
      </c>
      <c r="E190" s="15" t="s">
        <v>284</v>
      </c>
      <c r="F190" s="16" t="s">
        <v>121</v>
      </c>
      <c r="G190" s="8" t="n">
        <f aca="false">IFERROR(INDEX(Familles!$D$5:$D$56,MATCH(F190,Familles!$A$5:$A$56,0)),"")</f>
        <v>150</v>
      </c>
      <c r="H190" s="16"/>
      <c r="I190" s="16"/>
      <c r="J190" s="8" t="n">
        <f aca="false">IF(AND(H190="",G190=""),"",IF(H190&lt;&gt;"",H190,G190)*IF(I190="oui",1+MajHNO,1))</f>
        <v>150</v>
      </c>
      <c r="K190" s="17" t="n">
        <f aca="false">IF(J190="","",J190/MinParPoint)</f>
        <v>10</v>
      </c>
    </row>
    <row r="191" customFormat="false" ht="15" hidden="false" customHeight="false" outlineLevel="0" collapsed="false">
      <c r="A191" s="15" t="s">
        <v>243</v>
      </c>
      <c r="B191" s="15" t="s">
        <v>421</v>
      </c>
      <c r="C191" s="15" t="s">
        <v>591</v>
      </c>
      <c r="D191" s="15" t="s">
        <v>124</v>
      </c>
      <c r="E191" s="15" t="s">
        <v>284</v>
      </c>
      <c r="F191" s="16" t="s">
        <v>123</v>
      </c>
      <c r="G191" s="8" t="n">
        <f aca="false">IFERROR(INDEX(Familles!$D$5:$D$56,MATCH(F191,Familles!$A$5:$A$56,0)),"")</f>
        <v>45</v>
      </c>
      <c r="H191" s="16"/>
      <c r="I191" s="16"/>
      <c r="J191" s="8" t="n">
        <f aca="false">IF(AND(H191="",G191=""),"",IF(H191&lt;&gt;"",H191,G191)*IF(I191="oui",1+MajHNO,1))</f>
        <v>45</v>
      </c>
      <c r="K191" s="17" t="n">
        <f aca="false">IF(J191="","",J191/MinParPoint)</f>
        <v>3</v>
      </c>
    </row>
    <row r="192" customFormat="false" ht="15" hidden="false" customHeight="false" outlineLevel="0" collapsed="false">
      <c r="A192" s="15" t="s">
        <v>243</v>
      </c>
      <c r="B192" s="15" t="s">
        <v>421</v>
      </c>
      <c r="C192" s="15" t="s">
        <v>592</v>
      </c>
      <c r="D192" s="15" t="s">
        <v>593</v>
      </c>
      <c r="E192" s="15" t="s">
        <v>284</v>
      </c>
      <c r="F192" s="16" t="s">
        <v>130</v>
      </c>
      <c r="G192" s="8" t="n">
        <f aca="false">IFERROR(INDEX(Familles!$D$5:$D$56,MATCH(F192,Familles!$A$5:$A$56,0)),"")</f>
        <v>360</v>
      </c>
      <c r="H192" s="16"/>
      <c r="I192" s="16"/>
      <c r="J192" s="8" t="n">
        <f aca="false">IF(AND(H192="",G192=""),"",IF(H192&lt;&gt;"",H192,G192)*IF(I192="oui",1+MajHNO,1))</f>
        <v>360</v>
      </c>
      <c r="K192" s="17" t="n">
        <f aca="false">IF(J192="","",J192/MinParPoint)</f>
        <v>24</v>
      </c>
    </row>
    <row r="193" customFormat="false" ht="15" hidden="false" customHeight="false" outlineLevel="0" collapsed="false">
      <c r="A193" s="15" t="s">
        <v>243</v>
      </c>
      <c r="B193" s="15" t="s">
        <v>421</v>
      </c>
      <c r="C193" s="15" t="s">
        <v>594</v>
      </c>
      <c r="D193" s="15" t="s">
        <v>595</v>
      </c>
      <c r="E193" s="15" t="s">
        <v>284</v>
      </c>
      <c r="F193" s="16" t="s">
        <v>130</v>
      </c>
      <c r="G193" s="8" t="n">
        <f aca="false">IFERROR(INDEX(Familles!$D$5:$D$56,MATCH(F193,Familles!$A$5:$A$56,0)),"")</f>
        <v>360</v>
      </c>
      <c r="H193" s="16"/>
      <c r="I193" s="16"/>
      <c r="J193" s="8" t="n">
        <f aca="false">IF(AND(H193="",G193=""),"",IF(H193&lt;&gt;"",H193,G193)*IF(I193="oui",1+MajHNO,1))</f>
        <v>360</v>
      </c>
      <c r="K193" s="17" t="n">
        <f aca="false">IF(J193="","",J193/MinParPoint)</f>
        <v>24</v>
      </c>
    </row>
    <row r="194" customFormat="false" ht="15" hidden="false" customHeight="false" outlineLevel="0" collapsed="false">
      <c r="A194" s="15" t="s">
        <v>243</v>
      </c>
      <c r="B194" s="15" t="s">
        <v>421</v>
      </c>
      <c r="C194" s="15" t="s">
        <v>596</v>
      </c>
      <c r="D194" s="15" t="s">
        <v>597</v>
      </c>
      <c r="E194" s="15" t="s">
        <v>284</v>
      </c>
      <c r="F194" s="16" t="s">
        <v>128</v>
      </c>
      <c r="G194" s="8" t="n">
        <f aca="false">IFERROR(INDEX(Familles!$D$5:$D$56,MATCH(F194,Familles!$A$5:$A$56,0)),"")</f>
        <v>240</v>
      </c>
      <c r="H194" s="16"/>
      <c r="I194" s="16"/>
      <c r="J194" s="8" t="n">
        <f aca="false">IF(AND(H194="",G194=""),"",IF(H194&lt;&gt;"",H194,G194)*IF(I194="oui",1+MajHNO,1))</f>
        <v>240</v>
      </c>
      <c r="K194" s="17" t="n">
        <f aca="false">IF(J194="","",J194/MinParPoint)</f>
        <v>16</v>
      </c>
    </row>
    <row r="195" customFormat="false" ht="15" hidden="false" customHeight="false" outlineLevel="0" collapsed="false">
      <c r="A195" s="15" t="s">
        <v>243</v>
      </c>
      <c r="B195" s="15" t="s">
        <v>421</v>
      </c>
      <c r="C195" s="15" t="s">
        <v>598</v>
      </c>
      <c r="D195" s="15" t="s">
        <v>599</v>
      </c>
      <c r="E195" s="15" t="s">
        <v>284</v>
      </c>
      <c r="F195" s="16" t="s">
        <v>128</v>
      </c>
      <c r="G195" s="8" t="n">
        <f aca="false">IFERROR(INDEX(Familles!$D$5:$D$56,MATCH(F195,Familles!$A$5:$A$56,0)),"")</f>
        <v>240</v>
      </c>
      <c r="H195" s="16"/>
      <c r="I195" s="16"/>
      <c r="J195" s="8" t="n">
        <f aca="false">IF(AND(H195="",G195=""),"",IF(H195&lt;&gt;"",H195,G195)*IF(I195="oui",1+MajHNO,1))</f>
        <v>240</v>
      </c>
      <c r="K195" s="17" t="n">
        <f aca="false">IF(J195="","",J195/MinParPoint)</f>
        <v>16</v>
      </c>
    </row>
    <row r="196" customFormat="false" ht="15" hidden="false" customHeight="false" outlineLevel="0" collapsed="false">
      <c r="A196" s="15" t="s">
        <v>243</v>
      </c>
      <c r="B196" s="15" t="s">
        <v>421</v>
      </c>
      <c r="C196" s="15" t="s">
        <v>600</v>
      </c>
      <c r="D196" s="15" t="s">
        <v>601</v>
      </c>
      <c r="E196" s="15" t="s">
        <v>284</v>
      </c>
      <c r="F196" s="16" t="s">
        <v>128</v>
      </c>
      <c r="G196" s="8" t="n">
        <f aca="false">IFERROR(INDEX(Familles!$D$5:$D$56,MATCH(F196,Familles!$A$5:$A$56,0)),"")</f>
        <v>240</v>
      </c>
      <c r="H196" s="16"/>
      <c r="I196" s="16"/>
      <c r="J196" s="8" t="n">
        <f aca="false">IF(AND(H196="",G196=""),"",IF(H196&lt;&gt;"",H196,G196)*IF(I196="oui",1+MajHNO,1))</f>
        <v>240</v>
      </c>
      <c r="K196" s="17" t="n">
        <f aca="false">IF(J196="","",J196/MinParPoint)</f>
        <v>16</v>
      </c>
    </row>
    <row r="197" customFormat="false" ht="15" hidden="false" customHeight="false" outlineLevel="0" collapsed="false">
      <c r="A197" s="15" t="s">
        <v>243</v>
      </c>
      <c r="B197" s="15" t="s">
        <v>421</v>
      </c>
      <c r="C197" s="15" t="s">
        <v>602</v>
      </c>
      <c r="D197" s="15" t="s">
        <v>603</v>
      </c>
      <c r="E197" s="15" t="s">
        <v>284</v>
      </c>
      <c r="F197" s="16" t="s">
        <v>125</v>
      </c>
      <c r="G197" s="8" t="n">
        <f aca="false">IFERROR(INDEX(Familles!$D$5:$D$56,MATCH(F197,Familles!$A$5:$A$56,0)),"")</f>
        <v>120</v>
      </c>
      <c r="H197" s="16"/>
      <c r="I197" s="16"/>
      <c r="J197" s="8" t="n">
        <f aca="false">IF(AND(H197="",G197=""),"",IF(H197&lt;&gt;"",H197,G197)*IF(I197="oui",1+MajHNO,1))</f>
        <v>120</v>
      </c>
      <c r="K197" s="17" t="n">
        <f aca="false">IF(J197="","",J197/MinParPoint)</f>
        <v>8</v>
      </c>
    </row>
    <row r="198" customFormat="false" ht="15" hidden="false" customHeight="false" outlineLevel="0" collapsed="false">
      <c r="A198" s="15" t="s">
        <v>243</v>
      </c>
      <c r="B198" s="15" t="s">
        <v>421</v>
      </c>
      <c r="C198" s="15" t="s">
        <v>604</v>
      </c>
      <c r="D198" s="15" t="s">
        <v>605</v>
      </c>
      <c r="E198" s="15" t="s">
        <v>284</v>
      </c>
      <c r="F198" s="16" t="s">
        <v>125</v>
      </c>
      <c r="G198" s="8" t="n">
        <f aca="false">IFERROR(INDEX(Familles!$D$5:$D$56,MATCH(F198,Familles!$A$5:$A$56,0)),"")</f>
        <v>120</v>
      </c>
      <c r="H198" s="16"/>
      <c r="I198" s="16"/>
      <c r="J198" s="8" t="n">
        <f aca="false">IF(AND(H198="",G198=""),"",IF(H198&lt;&gt;"",H198,G198)*IF(I198="oui",1+MajHNO,1))</f>
        <v>120</v>
      </c>
      <c r="K198" s="17" t="n">
        <f aca="false">IF(J198="","",J198/MinParPoint)</f>
        <v>8</v>
      </c>
    </row>
    <row r="199" customFormat="false" ht="15" hidden="false" customHeight="false" outlineLevel="0" collapsed="false">
      <c r="A199" s="15" t="s">
        <v>243</v>
      </c>
      <c r="B199" s="15" t="s">
        <v>421</v>
      </c>
      <c r="C199" s="15" t="s">
        <v>606</v>
      </c>
      <c r="D199" s="15" t="s">
        <v>607</v>
      </c>
      <c r="E199" s="15" t="s">
        <v>284</v>
      </c>
      <c r="F199" s="16" t="s">
        <v>125</v>
      </c>
      <c r="G199" s="8" t="n">
        <f aca="false">IFERROR(INDEX(Familles!$D$5:$D$56,MATCH(F199,Familles!$A$5:$A$56,0)),"")</f>
        <v>120</v>
      </c>
      <c r="H199" s="16"/>
      <c r="I199" s="16"/>
      <c r="J199" s="8" t="n">
        <f aca="false">IF(AND(H199="",G199=""),"",IF(H199&lt;&gt;"",H199,G199)*IF(I199="oui",1+MajHNO,1))</f>
        <v>120</v>
      </c>
      <c r="K199" s="17" t="n">
        <f aca="false">IF(J199="","",J199/MinParPoint)</f>
        <v>8</v>
      </c>
    </row>
    <row r="200" customFormat="false" ht="15" hidden="false" customHeight="false" outlineLevel="0" collapsed="false">
      <c r="A200" s="15" t="s">
        <v>243</v>
      </c>
      <c r="B200" s="15" t="s">
        <v>421</v>
      </c>
      <c r="C200" s="15" t="s">
        <v>608</v>
      </c>
      <c r="D200" s="15" t="s">
        <v>609</v>
      </c>
      <c r="E200" s="15" t="s">
        <v>284</v>
      </c>
      <c r="F200" s="16" t="s">
        <v>125</v>
      </c>
      <c r="G200" s="8" t="n">
        <f aca="false">IFERROR(INDEX(Familles!$D$5:$D$56,MATCH(F200,Familles!$A$5:$A$56,0)),"")</f>
        <v>120</v>
      </c>
      <c r="H200" s="16"/>
      <c r="I200" s="16"/>
      <c r="J200" s="8" t="n">
        <f aca="false">IF(AND(H200="",G200=""),"",IF(H200&lt;&gt;"",H200,G200)*IF(I200="oui",1+MajHNO,1))</f>
        <v>120</v>
      </c>
      <c r="K200" s="17" t="n">
        <f aca="false">IF(J200="","",J200/MinParPoint)</f>
        <v>8</v>
      </c>
    </row>
    <row r="201" customFormat="false" ht="15" hidden="false" customHeight="false" outlineLevel="0" collapsed="false">
      <c r="A201" s="15" t="s">
        <v>243</v>
      </c>
      <c r="B201" s="15" t="s">
        <v>421</v>
      </c>
      <c r="C201" s="15" t="s">
        <v>610</v>
      </c>
      <c r="D201" s="15" t="s">
        <v>611</v>
      </c>
      <c r="E201" s="15" t="s">
        <v>284</v>
      </c>
      <c r="F201" s="16" t="s">
        <v>125</v>
      </c>
      <c r="G201" s="8" t="n">
        <f aca="false">IFERROR(INDEX(Familles!$D$5:$D$56,MATCH(F201,Familles!$A$5:$A$56,0)),"")</f>
        <v>120</v>
      </c>
      <c r="H201" s="16"/>
      <c r="I201" s="16"/>
      <c r="J201" s="8" t="n">
        <f aca="false">IF(AND(H201="",G201=""),"",IF(H201&lt;&gt;"",H201,G201)*IF(I201="oui",1+MajHNO,1))</f>
        <v>120</v>
      </c>
      <c r="K201" s="17" t="n">
        <f aca="false">IF(J201="","",J201/MinParPoint)</f>
        <v>8</v>
      </c>
    </row>
    <row r="202" customFormat="false" ht="15" hidden="false" customHeight="false" outlineLevel="0" collapsed="false">
      <c r="A202" s="15" t="s">
        <v>243</v>
      </c>
      <c r="B202" s="15" t="s">
        <v>421</v>
      </c>
      <c r="C202" s="15" t="s">
        <v>612</v>
      </c>
      <c r="D202" s="15" t="s">
        <v>134</v>
      </c>
      <c r="E202" s="15" t="s">
        <v>284</v>
      </c>
      <c r="F202" s="16" t="s">
        <v>132</v>
      </c>
      <c r="G202" s="8" t="n">
        <f aca="false">IFERROR(INDEX(Familles!$D$5:$D$56,MATCH(F202,Familles!$A$5:$A$56,0)),"")</f>
        <v>90</v>
      </c>
      <c r="H202" s="16"/>
      <c r="I202" s="16"/>
      <c r="J202" s="8" t="n">
        <f aca="false">IF(AND(H202="",G202=""),"",IF(H202&lt;&gt;"",H202,G202)*IF(I202="oui",1+MajHNO,1))</f>
        <v>90</v>
      </c>
      <c r="K202" s="17" t="n">
        <f aca="false">IF(J202="","",J202/MinParPoint)</f>
        <v>6</v>
      </c>
    </row>
    <row r="203" customFormat="false" ht="15" hidden="false" customHeight="false" outlineLevel="0" collapsed="false">
      <c r="A203" s="15" t="s">
        <v>243</v>
      </c>
      <c r="B203" s="15" t="s">
        <v>421</v>
      </c>
      <c r="C203" s="15" t="s">
        <v>613</v>
      </c>
      <c r="D203" s="15" t="s">
        <v>614</v>
      </c>
      <c r="E203" s="15" t="s">
        <v>284</v>
      </c>
      <c r="F203" s="16" t="s">
        <v>136</v>
      </c>
      <c r="G203" s="8" t="n">
        <f aca="false">IFERROR(INDEX(Familles!$D$5:$D$56,MATCH(F203,Familles!$A$5:$A$56,0)),"")</f>
        <v>360</v>
      </c>
      <c r="H203" s="16"/>
      <c r="I203" s="16"/>
      <c r="J203" s="8" t="n">
        <f aca="false">IF(AND(H203="",G203=""),"",IF(H203&lt;&gt;"",H203,G203)*IF(I203="oui",1+MajHNO,1))</f>
        <v>360</v>
      </c>
      <c r="K203" s="17" t="n">
        <f aca="false">IF(J203="","",J203/MinParPoint)</f>
        <v>24</v>
      </c>
    </row>
    <row r="204" customFormat="false" ht="15" hidden="false" customHeight="false" outlineLevel="0" collapsed="false">
      <c r="A204" s="15" t="s">
        <v>243</v>
      </c>
      <c r="B204" s="15" t="s">
        <v>421</v>
      </c>
      <c r="C204" s="15" t="s">
        <v>615</v>
      </c>
      <c r="D204" s="15" t="s">
        <v>616</v>
      </c>
      <c r="E204" s="15" t="s">
        <v>284</v>
      </c>
      <c r="F204" s="16" t="s">
        <v>136</v>
      </c>
      <c r="G204" s="8" t="n">
        <f aca="false">IFERROR(INDEX(Familles!$D$5:$D$56,MATCH(F204,Familles!$A$5:$A$56,0)),"")</f>
        <v>360</v>
      </c>
      <c r="H204" s="16"/>
      <c r="I204" s="16"/>
      <c r="J204" s="8" t="n">
        <f aca="false">IF(AND(H204="",G204=""),"",IF(H204&lt;&gt;"",H204,G204)*IF(I204="oui",1+MajHNO,1))</f>
        <v>360</v>
      </c>
      <c r="K204" s="17" t="n">
        <f aca="false">IF(J204="","",J204/MinParPoint)</f>
        <v>24</v>
      </c>
    </row>
    <row r="205" customFormat="false" ht="15" hidden="false" customHeight="false" outlineLevel="0" collapsed="false">
      <c r="A205" s="15" t="s">
        <v>243</v>
      </c>
      <c r="B205" s="15" t="s">
        <v>421</v>
      </c>
      <c r="C205" s="15" t="s">
        <v>617</v>
      </c>
      <c r="D205" s="15" t="s">
        <v>618</v>
      </c>
      <c r="E205" s="15" t="s">
        <v>284</v>
      </c>
      <c r="F205" s="16" t="s">
        <v>136</v>
      </c>
      <c r="G205" s="8" t="n">
        <f aca="false">IFERROR(INDEX(Familles!$D$5:$D$56,MATCH(F205,Familles!$A$5:$A$56,0)),"")</f>
        <v>360</v>
      </c>
      <c r="H205" s="16"/>
      <c r="I205" s="16"/>
      <c r="J205" s="8" t="n">
        <f aca="false">IF(AND(H205="",G205=""),"",IF(H205&lt;&gt;"",H205,G205)*IF(I205="oui",1+MajHNO,1))</f>
        <v>360</v>
      </c>
      <c r="K205" s="17" t="n">
        <f aca="false">IF(J205="","",J205/MinParPoint)</f>
        <v>24</v>
      </c>
    </row>
    <row r="206" customFormat="false" ht="15" hidden="false" customHeight="false" outlineLevel="0" collapsed="false">
      <c r="A206" s="15" t="s">
        <v>243</v>
      </c>
      <c r="B206" s="15" t="s">
        <v>421</v>
      </c>
      <c r="C206" s="15" t="s">
        <v>619</v>
      </c>
      <c r="D206" s="15" t="s">
        <v>140</v>
      </c>
      <c r="E206" s="15" t="s">
        <v>537</v>
      </c>
      <c r="F206" s="16" t="s">
        <v>139</v>
      </c>
      <c r="G206" s="8" t="n">
        <f aca="false">IFERROR(INDEX(Familles!$D$5:$D$56,MATCH(F206,Familles!$A$5:$A$56,0)),"")</f>
        <v>30</v>
      </c>
      <c r="H206" s="16"/>
      <c r="I206" s="16"/>
      <c r="J206" s="8" t="n">
        <f aca="false">IF(AND(H206="",G206=""),"",IF(H206&lt;&gt;"",H206,G206)*IF(I206="oui",1+MajHNO,1))</f>
        <v>30</v>
      </c>
      <c r="K206" s="17" t="n">
        <f aca="false">IF(J206="","",J206/MinParPoint)</f>
        <v>2</v>
      </c>
    </row>
    <row r="207" customFormat="false" ht="15" hidden="false" customHeight="false" outlineLevel="0" collapsed="false">
      <c r="A207" s="15" t="s">
        <v>243</v>
      </c>
      <c r="B207" s="15" t="s">
        <v>421</v>
      </c>
      <c r="C207" s="15" t="s">
        <v>620</v>
      </c>
      <c r="D207" s="15" t="s">
        <v>621</v>
      </c>
      <c r="E207" s="15" t="s">
        <v>284</v>
      </c>
      <c r="F207" s="16" t="s">
        <v>73</v>
      </c>
      <c r="G207" s="8" t="n">
        <f aca="false">IFERROR(INDEX(Familles!$D$5:$D$56,MATCH(F207,Familles!$A$5:$A$56,0)),"")</f>
        <v>60</v>
      </c>
      <c r="H207" s="16"/>
      <c r="I207" s="16"/>
      <c r="J207" s="8" t="n">
        <f aca="false">IF(AND(H207="",G207=""),"",IF(H207&lt;&gt;"",H207,G207)*IF(I207="oui",1+MajHNO,1))</f>
        <v>60</v>
      </c>
      <c r="K207" s="17" t="n">
        <f aca="false">IF(J207="","",J207/MinParPoint)</f>
        <v>4</v>
      </c>
    </row>
    <row r="208" customFormat="false" ht="15" hidden="false" customHeight="false" outlineLevel="0" collapsed="false">
      <c r="A208" s="15" t="s">
        <v>243</v>
      </c>
      <c r="B208" s="15" t="s">
        <v>421</v>
      </c>
      <c r="C208" s="15" t="s">
        <v>622</v>
      </c>
      <c r="D208" s="15" t="s">
        <v>623</v>
      </c>
      <c r="E208" s="15" t="s">
        <v>284</v>
      </c>
      <c r="F208" s="16" t="s">
        <v>73</v>
      </c>
      <c r="G208" s="8" t="n">
        <f aca="false">IFERROR(INDEX(Familles!$D$5:$D$56,MATCH(F208,Familles!$A$5:$A$56,0)),"")</f>
        <v>60</v>
      </c>
      <c r="H208" s="16"/>
      <c r="I208" s="16"/>
      <c r="J208" s="8" t="n">
        <f aca="false">IF(AND(H208="",G208=""),"",IF(H208&lt;&gt;"",H208,G208)*IF(I208="oui",1+MajHNO,1))</f>
        <v>60</v>
      </c>
      <c r="K208" s="17" t="n">
        <f aca="false">IF(J208="","",J208/MinParPoint)</f>
        <v>4</v>
      </c>
    </row>
    <row r="209" customFormat="false" ht="15" hidden="false" customHeight="false" outlineLevel="0" collapsed="false">
      <c r="A209" s="15" t="s">
        <v>243</v>
      </c>
      <c r="B209" s="15" t="s">
        <v>421</v>
      </c>
      <c r="C209" s="15" t="s">
        <v>624</v>
      </c>
      <c r="D209" s="15" t="s">
        <v>625</v>
      </c>
      <c r="E209" s="15" t="s">
        <v>284</v>
      </c>
      <c r="F209" s="16" t="s">
        <v>144</v>
      </c>
      <c r="G209" s="8" t="n">
        <f aca="false">IFERROR(INDEX(Familles!$D$5:$D$56,MATCH(F209,Familles!$A$5:$A$56,0)),"")</f>
        <v>180</v>
      </c>
      <c r="H209" s="16"/>
      <c r="I209" s="16"/>
      <c r="J209" s="8" t="n">
        <f aca="false">IF(AND(H209="",G209=""),"",IF(H209&lt;&gt;"",H209,G209)*IF(I209="oui",1+MajHNO,1))</f>
        <v>180</v>
      </c>
      <c r="K209" s="17" t="n">
        <f aca="false">IF(J209="","",J209/MinParPoint)</f>
        <v>12</v>
      </c>
    </row>
    <row r="210" customFormat="false" ht="15" hidden="false" customHeight="false" outlineLevel="0" collapsed="false">
      <c r="A210" s="15" t="s">
        <v>243</v>
      </c>
      <c r="B210" s="15" t="s">
        <v>421</v>
      </c>
      <c r="C210" s="15" t="s">
        <v>626</v>
      </c>
      <c r="D210" s="15" t="s">
        <v>627</v>
      </c>
      <c r="E210" s="15" t="s">
        <v>284</v>
      </c>
      <c r="F210" s="16" t="s">
        <v>144</v>
      </c>
      <c r="G210" s="8" t="n">
        <f aca="false">IFERROR(INDEX(Familles!$D$5:$D$56,MATCH(F210,Familles!$A$5:$A$56,0)),"")</f>
        <v>180</v>
      </c>
      <c r="H210" s="16"/>
      <c r="I210" s="16"/>
      <c r="J210" s="8" t="n">
        <f aca="false">IF(AND(H210="",G210=""),"",IF(H210&lt;&gt;"",H210,G210)*IF(I210="oui",1+MajHNO,1))</f>
        <v>180</v>
      </c>
      <c r="K210" s="17" t="n">
        <f aca="false">IF(J210="","",J210/MinParPoint)</f>
        <v>12</v>
      </c>
    </row>
    <row r="211" customFormat="false" ht="15" hidden="false" customHeight="false" outlineLevel="0" collapsed="false">
      <c r="A211" s="15" t="s">
        <v>243</v>
      </c>
      <c r="B211" s="15" t="s">
        <v>421</v>
      </c>
      <c r="C211" s="15" t="s">
        <v>628</v>
      </c>
      <c r="D211" s="15" t="s">
        <v>629</v>
      </c>
      <c r="E211" s="15" t="s">
        <v>363</v>
      </c>
      <c r="F211" s="16" t="s">
        <v>141</v>
      </c>
      <c r="G211" s="8" t="n">
        <f aca="false">IFERROR(INDEX(Familles!$D$5:$D$56,MATCH(F211,Familles!$A$5:$A$56,0)),"")</f>
        <v>15</v>
      </c>
      <c r="H211" s="16"/>
      <c r="I211" s="16"/>
      <c r="J211" s="8" t="n">
        <f aca="false">IF(AND(H211="",G211=""),"",IF(H211&lt;&gt;"",H211,G211)*IF(I211="oui",1+MajHNO,1))</f>
        <v>15</v>
      </c>
      <c r="K211" s="17" t="n">
        <f aca="false">IF(J211="","",J211/MinParPoint)</f>
        <v>1</v>
      </c>
    </row>
    <row r="212" customFormat="false" ht="15" hidden="false" customHeight="false" outlineLevel="0" collapsed="false">
      <c r="A212" s="15" t="s">
        <v>243</v>
      </c>
      <c r="B212" s="15" t="s">
        <v>421</v>
      </c>
      <c r="C212" s="15" t="s">
        <v>630</v>
      </c>
      <c r="D212" s="15" t="s">
        <v>631</v>
      </c>
      <c r="E212" s="15" t="s">
        <v>363</v>
      </c>
      <c r="F212" s="16" t="s">
        <v>141</v>
      </c>
      <c r="G212" s="8" t="n">
        <f aca="false">IFERROR(INDEX(Familles!$D$5:$D$56,MATCH(F212,Familles!$A$5:$A$56,0)),"")</f>
        <v>15</v>
      </c>
      <c r="H212" s="16"/>
      <c r="I212" s="16"/>
      <c r="J212" s="8" t="n">
        <f aca="false">IF(AND(H212="",G212=""),"",IF(H212&lt;&gt;"",H212,G212)*IF(I212="oui",1+MajHNO,1))</f>
        <v>15</v>
      </c>
      <c r="K212" s="17" t="n">
        <f aca="false">IF(J212="","",J212/MinParPoint)</f>
        <v>1</v>
      </c>
    </row>
    <row r="213" customFormat="false" ht="15" hidden="false" customHeight="false" outlineLevel="0" collapsed="false">
      <c r="A213" s="15" t="s">
        <v>243</v>
      </c>
      <c r="B213" s="15" t="s">
        <v>421</v>
      </c>
      <c r="C213" s="15" t="s">
        <v>632</v>
      </c>
      <c r="D213" s="15" t="s">
        <v>633</v>
      </c>
      <c r="E213" s="15" t="s">
        <v>363</v>
      </c>
      <c r="F213" s="16" t="s">
        <v>141</v>
      </c>
      <c r="G213" s="8" t="n">
        <f aca="false">IFERROR(INDEX(Familles!$D$5:$D$56,MATCH(F213,Familles!$A$5:$A$56,0)),"")</f>
        <v>15</v>
      </c>
      <c r="H213" s="16"/>
      <c r="I213" s="16"/>
      <c r="J213" s="8" t="n">
        <f aca="false">IF(AND(H213="",G213=""),"",IF(H213&lt;&gt;"",H213,G213)*IF(I213="oui",1+MajHNO,1))</f>
        <v>15</v>
      </c>
      <c r="K213" s="17" t="n">
        <f aca="false">IF(J213="","",J213/MinParPoint)</f>
        <v>1</v>
      </c>
    </row>
    <row r="214" customFormat="false" ht="15" hidden="false" customHeight="false" outlineLevel="0" collapsed="false">
      <c r="A214" s="15" t="s">
        <v>243</v>
      </c>
      <c r="B214" s="15" t="s">
        <v>421</v>
      </c>
      <c r="C214" s="15" t="s">
        <v>634</v>
      </c>
      <c r="D214" s="15" t="s">
        <v>635</v>
      </c>
      <c r="E214" s="15" t="s">
        <v>363</v>
      </c>
      <c r="F214" s="16" t="s">
        <v>141</v>
      </c>
      <c r="G214" s="8" t="n">
        <f aca="false">IFERROR(INDEX(Familles!$D$5:$D$56,MATCH(F214,Familles!$A$5:$A$56,0)),"")</f>
        <v>15</v>
      </c>
      <c r="H214" s="16"/>
      <c r="I214" s="16"/>
      <c r="J214" s="8" t="n">
        <f aca="false">IF(AND(H214="",G214=""),"",IF(H214&lt;&gt;"",H214,G214)*IF(I214="oui",1+MajHNO,1))</f>
        <v>15</v>
      </c>
      <c r="K214" s="17" t="n">
        <f aca="false">IF(J214="","",J214/MinParPoint)</f>
        <v>1</v>
      </c>
    </row>
    <row r="215" customFormat="false" ht="15" hidden="false" customHeight="false" outlineLevel="0" collapsed="false">
      <c r="A215" s="15" t="s">
        <v>243</v>
      </c>
      <c r="B215" s="15" t="s">
        <v>421</v>
      </c>
      <c r="C215" s="15" t="s">
        <v>636</v>
      </c>
      <c r="D215" s="15" t="s">
        <v>637</v>
      </c>
      <c r="E215" s="15" t="s">
        <v>363</v>
      </c>
      <c r="F215" s="16" t="s">
        <v>141</v>
      </c>
      <c r="G215" s="8" t="n">
        <f aca="false">IFERROR(INDEX(Familles!$D$5:$D$56,MATCH(F215,Familles!$A$5:$A$56,0)),"")</f>
        <v>15</v>
      </c>
      <c r="H215" s="16"/>
      <c r="I215" s="16"/>
      <c r="J215" s="8" t="n">
        <f aca="false">IF(AND(H215="",G215=""),"",IF(H215&lt;&gt;"",H215,G215)*IF(I215="oui",1+MajHNO,1))</f>
        <v>15</v>
      </c>
      <c r="K215" s="17" t="n">
        <f aca="false">IF(J215="","",J215/MinParPoint)</f>
        <v>1</v>
      </c>
    </row>
    <row r="216" customFormat="false" ht="15" hidden="false" customHeight="false" outlineLevel="0" collapsed="false">
      <c r="A216" s="15" t="s">
        <v>243</v>
      </c>
      <c r="B216" s="15" t="s">
        <v>421</v>
      </c>
      <c r="C216" s="15" t="s">
        <v>638</v>
      </c>
      <c r="D216" s="15" t="s">
        <v>639</v>
      </c>
      <c r="E216" s="15" t="s">
        <v>363</v>
      </c>
      <c r="F216" s="16" t="s">
        <v>141</v>
      </c>
      <c r="G216" s="8" t="n">
        <f aca="false">IFERROR(INDEX(Familles!$D$5:$D$56,MATCH(F216,Familles!$A$5:$A$56,0)),"")</f>
        <v>15</v>
      </c>
      <c r="H216" s="16"/>
      <c r="I216" s="16"/>
      <c r="J216" s="8" t="n">
        <f aca="false">IF(AND(H216="",G216=""),"",IF(H216&lt;&gt;"",H216,G216)*IF(I216="oui",1+MajHNO,1))</f>
        <v>15</v>
      </c>
      <c r="K216" s="17" t="n">
        <f aca="false">IF(J216="","",J216/MinParPoint)</f>
        <v>1</v>
      </c>
    </row>
    <row r="217" customFormat="false" ht="15" hidden="false" customHeight="false" outlineLevel="0" collapsed="false">
      <c r="A217" s="15" t="s">
        <v>243</v>
      </c>
      <c r="B217" s="15" t="s">
        <v>421</v>
      </c>
      <c r="C217" s="15" t="s">
        <v>640</v>
      </c>
      <c r="D217" s="15" t="s">
        <v>641</v>
      </c>
      <c r="E217" s="15" t="s">
        <v>363</v>
      </c>
      <c r="F217" s="16" t="s">
        <v>141</v>
      </c>
      <c r="G217" s="8" t="n">
        <f aca="false">IFERROR(INDEX(Familles!$D$5:$D$56,MATCH(F217,Familles!$A$5:$A$56,0)),"")</f>
        <v>15</v>
      </c>
      <c r="H217" s="16"/>
      <c r="I217" s="16"/>
      <c r="J217" s="8" t="n">
        <f aca="false">IF(AND(H217="",G217=""),"",IF(H217&lt;&gt;"",H217,G217)*IF(I217="oui",1+MajHNO,1))</f>
        <v>15</v>
      </c>
      <c r="K217" s="17" t="n">
        <f aca="false">IF(J217="","",J217/MinParPoint)</f>
        <v>1</v>
      </c>
    </row>
    <row r="218" customFormat="false" ht="15" hidden="false" customHeight="false" outlineLevel="0" collapsed="false">
      <c r="A218" s="15" t="s">
        <v>243</v>
      </c>
      <c r="B218" s="15" t="s">
        <v>421</v>
      </c>
      <c r="C218" s="15" t="s">
        <v>642</v>
      </c>
      <c r="D218" s="15" t="s">
        <v>643</v>
      </c>
      <c r="E218" s="15" t="s">
        <v>363</v>
      </c>
      <c r="F218" s="16" t="s">
        <v>141</v>
      </c>
      <c r="G218" s="8" t="n">
        <f aca="false">IFERROR(INDEX(Familles!$D$5:$D$56,MATCH(F218,Familles!$A$5:$A$56,0)),"")</f>
        <v>15</v>
      </c>
      <c r="H218" s="16"/>
      <c r="I218" s="16"/>
      <c r="J218" s="8" t="n">
        <f aca="false">IF(AND(H218="",G218=""),"",IF(H218&lt;&gt;"",H218,G218)*IF(I218="oui",1+MajHNO,1))</f>
        <v>15</v>
      </c>
      <c r="K218" s="17" t="n">
        <f aca="false">IF(J218="","",J218/MinParPoint)</f>
        <v>1</v>
      </c>
    </row>
    <row r="219" customFormat="false" ht="15" hidden="false" customHeight="false" outlineLevel="0" collapsed="false">
      <c r="A219" s="15" t="s">
        <v>243</v>
      </c>
      <c r="B219" s="15" t="s">
        <v>421</v>
      </c>
      <c r="C219" s="15" t="s">
        <v>644</v>
      </c>
      <c r="D219" s="15" t="s">
        <v>645</v>
      </c>
      <c r="E219" s="15" t="s">
        <v>363</v>
      </c>
      <c r="F219" s="16" t="s">
        <v>141</v>
      </c>
      <c r="G219" s="8" t="n">
        <f aca="false">IFERROR(INDEX(Familles!$D$5:$D$56,MATCH(F219,Familles!$A$5:$A$56,0)),"")</f>
        <v>15</v>
      </c>
      <c r="H219" s="16"/>
      <c r="I219" s="16"/>
      <c r="J219" s="8" t="n">
        <f aca="false">IF(AND(H219="",G219=""),"",IF(H219&lt;&gt;"",H219,G219)*IF(I219="oui",1+MajHNO,1))</f>
        <v>15</v>
      </c>
      <c r="K219" s="17" t="n">
        <f aca="false">IF(J219="","",J219/MinParPoint)</f>
        <v>1</v>
      </c>
    </row>
    <row r="220" customFormat="false" ht="15" hidden="false" customHeight="false" outlineLevel="0" collapsed="false">
      <c r="A220" s="15" t="s">
        <v>243</v>
      </c>
      <c r="B220" s="15" t="s">
        <v>421</v>
      </c>
      <c r="C220" s="15" t="s">
        <v>646</v>
      </c>
      <c r="D220" s="15" t="s">
        <v>647</v>
      </c>
      <c r="E220" s="15" t="s">
        <v>363</v>
      </c>
      <c r="F220" s="16" t="s">
        <v>144</v>
      </c>
      <c r="G220" s="8" t="n">
        <f aca="false">IFERROR(INDEX(Familles!$D$5:$D$56,MATCH(F220,Familles!$A$5:$A$56,0)),"")</f>
        <v>180</v>
      </c>
      <c r="H220" s="16"/>
      <c r="I220" s="16"/>
      <c r="J220" s="8" t="n">
        <f aca="false">IF(AND(H220="",G220=""),"",IF(H220&lt;&gt;"",H220,G220)*IF(I220="oui",1+MajHNO,1))</f>
        <v>180</v>
      </c>
      <c r="K220" s="17" t="n">
        <f aca="false">IF(J220="","",J220/MinParPoint)</f>
        <v>12</v>
      </c>
    </row>
    <row r="221" customFormat="false" ht="15" hidden="false" customHeight="false" outlineLevel="0" collapsed="false">
      <c r="A221" s="15" t="s">
        <v>243</v>
      </c>
      <c r="B221" s="15" t="s">
        <v>421</v>
      </c>
      <c r="C221" s="15" t="s">
        <v>648</v>
      </c>
      <c r="D221" s="15" t="s">
        <v>649</v>
      </c>
      <c r="E221" s="15" t="s">
        <v>284</v>
      </c>
      <c r="F221" s="16" t="s">
        <v>155</v>
      </c>
      <c r="G221" s="8" t="n">
        <f aca="false">IFERROR(INDEX(Familles!$D$5:$D$56,MATCH(F221,Familles!$A$5:$A$56,0)),"")</f>
        <v>480</v>
      </c>
      <c r="H221" s="16"/>
      <c r="I221" s="16"/>
      <c r="J221" s="8" t="n">
        <f aca="false">IF(AND(H221="",G221=""),"",IF(H221&lt;&gt;"",H221,G221)*IF(I221="oui",1+MajHNO,1))</f>
        <v>480</v>
      </c>
      <c r="K221" s="17" t="n">
        <f aca="false">IF(J221="","",J221/MinParPoint)</f>
        <v>32</v>
      </c>
    </row>
    <row r="222" customFormat="false" ht="15" hidden="false" customHeight="false" outlineLevel="0" collapsed="false">
      <c r="A222" s="15" t="s">
        <v>243</v>
      </c>
      <c r="B222" s="15" t="s">
        <v>421</v>
      </c>
      <c r="C222" s="15" t="s">
        <v>650</v>
      </c>
      <c r="D222" s="15" t="s">
        <v>651</v>
      </c>
      <c r="E222" s="15" t="s">
        <v>284</v>
      </c>
      <c r="F222" s="16" t="s">
        <v>155</v>
      </c>
      <c r="G222" s="8" t="n">
        <f aca="false">IFERROR(INDEX(Familles!$D$5:$D$56,MATCH(F222,Familles!$A$5:$A$56,0)),"")</f>
        <v>480</v>
      </c>
      <c r="H222" s="16"/>
      <c r="I222" s="16"/>
      <c r="J222" s="8" t="n">
        <f aca="false">IF(AND(H222="",G222=""),"",IF(H222&lt;&gt;"",H222,G222)*IF(I222="oui",1+MajHNO,1))</f>
        <v>480</v>
      </c>
      <c r="K222" s="17" t="n">
        <f aca="false">IF(J222="","",J222/MinParPoint)</f>
        <v>32</v>
      </c>
    </row>
    <row r="223" customFormat="false" ht="15" hidden="false" customHeight="false" outlineLevel="0" collapsed="false">
      <c r="A223" s="15" t="s">
        <v>243</v>
      </c>
      <c r="B223" s="15" t="s">
        <v>421</v>
      </c>
      <c r="C223" s="15" t="s">
        <v>652</v>
      </c>
      <c r="D223" s="15" t="s">
        <v>653</v>
      </c>
      <c r="E223" s="15" t="s">
        <v>284</v>
      </c>
      <c r="F223" s="16" t="s">
        <v>155</v>
      </c>
      <c r="G223" s="8" t="n">
        <f aca="false">IFERROR(INDEX(Familles!$D$5:$D$56,MATCH(F223,Familles!$A$5:$A$56,0)),"")</f>
        <v>480</v>
      </c>
      <c r="H223" s="16"/>
      <c r="I223" s="16"/>
      <c r="J223" s="8" t="n">
        <f aca="false">IF(AND(H223="",G223=""),"",IF(H223&lt;&gt;"",H223,G223)*IF(I223="oui",1+MajHNO,1))</f>
        <v>480</v>
      </c>
      <c r="K223" s="17" t="n">
        <f aca="false">IF(J223="","",J223/MinParPoint)</f>
        <v>32</v>
      </c>
    </row>
    <row r="224" customFormat="false" ht="15" hidden="false" customHeight="false" outlineLevel="0" collapsed="false">
      <c r="A224" s="15" t="s">
        <v>243</v>
      </c>
      <c r="B224" s="15" t="s">
        <v>421</v>
      </c>
      <c r="C224" s="15" t="s">
        <v>654</v>
      </c>
      <c r="D224" s="15" t="s">
        <v>655</v>
      </c>
      <c r="E224" s="15" t="s">
        <v>326</v>
      </c>
      <c r="F224" s="16" t="s">
        <v>83</v>
      </c>
      <c r="G224" s="8" t="n">
        <f aca="false">IFERROR(INDEX(Familles!$D$5:$D$56,MATCH(F224,Familles!$A$5:$A$56,0)),"")</f>
        <v>1</v>
      </c>
      <c r="H224" s="16"/>
      <c r="I224" s="16"/>
      <c r="J224" s="8" t="n">
        <f aca="false">IF(AND(H224="",G224=""),"",IF(H224&lt;&gt;"",H224,G224)*IF(I224="oui",1+MajHNO,1))</f>
        <v>1</v>
      </c>
      <c r="K224" s="17" t="n">
        <f aca="false">IF(J224="","",J224/MinParPoint)</f>
        <v>0.0666666666666667</v>
      </c>
    </row>
    <row r="225" customFormat="false" ht="15" hidden="false" customHeight="false" outlineLevel="0" collapsed="false">
      <c r="A225" s="15" t="s">
        <v>243</v>
      </c>
      <c r="B225" s="15" t="s">
        <v>421</v>
      </c>
      <c r="C225" s="15" t="s">
        <v>656</v>
      </c>
      <c r="D225" s="15" t="s">
        <v>657</v>
      </c>
      <c r="E225" s="15" t="s">
        <v>363</v>
      </c>
      <c r="F225" s="16" t="s">
        <v>155</v>
      </c>
      <c r="G225" s="8" t="n">
        <f aca="false">IFERROR(INDEX(Familles!$D$5:$D$56,MATCH(F225,Familles!$A$5:$A$56,0)),"")</f>
        <v>480</v>
      </c>
      <c r="H225" s="16"/>
      <c r="I225" s="16"/>
      <c r="J225" s="8" t="n">
        <f aca="false">IF(AND(H225="",G225=""),"",IF(H225&lt;&gt;"",H225,G225)*IF(I225="oui",1+MajHNO,1))</f>
        <v>480</v>
      </c>
      <c r="K225" s="17" t="n">
        <f aca="false">IF(J225="","",J225/MinParPoint)</f>
        <v>32</v>
      </c>
    </row>
    <row r="226" customFormat="false" ht="15" hidden="false" customHeight="false" outlineLevel="0" collapsed="false">
      <c r="A226" s="15" t="s">
        <v>243</v>
      </c>
      <c r="B226" s="15" t="s">
        <v>421</v>
      </c>
      <c r="C226" s="15" t="s">
        <v>658</v>
      </c>
      <c r="D226" s="15" t="s">
        <v>659</v>
      </c>
      <c r="E226" s="15" t="s">
        <v>284</v>
      </c>
      <c r="F226" s="16" t="s">
        <v>155</v>
      </c>
      <c r="G226" s="8" t="n">
        <f aca="false">IFERROR(INDEX(Familles!$D$5:$D$56,MATCH(F226,Familles!$A$5:$A$56,0)),"")</f>
        <v>480</v>
      </c>
      <c r="H226" s="16"/>
      <c r="I226" s="16"/>
      <c r="J226" s="8" t="n">
        <f aca="false">IF(AND(H226="",G226=""),"",IF(H226&lt;&gt;"",H226,G226)*IF(I226="oui",1+MajHNO,1))</f>
        <v>480</v>
      </c>
      <c r="K226" s="17" t="n">
        <f aca="false">IF(J226="","",J226/MinParPoint)</f>
        <v>32</v>
      </c>
    </row>
    <row r="227" customFormat="false" ht="15" hidden="false" customHeight="false" outlineLevel="0" collapsed="false">
      <c r="A227" s="15" t="s">
        <v>243</v>
      </c>
      <c r="B227" s="15" t="s">
        <v>421</v>
      </c>
      <c r="C227" s="15" t="s">
        <v>660</v>
      </c>
      <c r="D227" s="15" t="s">
        <v>661</v>
      </c>
      <c r="E227" s="15" t="s">
        <v>363</v>
      </c>
      <c r="F227" s="16" t="s">
        <v>155</v>
      </c>
      <c r="G227" s="8" t="n">
        <f aca="false">IFERROR(INDEX(Familles!$D$5:$D$56,MATCH(F227,Familles!$A$5:$A$56,0)),"")</f>
        <v>480</v>
      </c>
      <c r="H227" s="16"/>
      <c r="I227" s="16"/>
      <c r="J227" s="8" t="n">
        <f aca="false">IF(AND(H227="",G227=""),"",IF(H227&lt;&gt;"",H227,G227)*IF(I227="oui",1+MajHNO,1))</f>
        <v>480</v>
      </c>
      <c r="K227" s="17" t="n">
        <f aca="false">IF(J227="","",J227/MinParPoint)</f>
        <v>32</v>
      </c>
    </row>
    <row r="228" customFormat="false" ht="15" hidden="false" customHeight="false" outlineLevel="0" collapsed="false">
      <c r="A228" s="15" t="s">
        <v>243</v>
      </c>
      <c r="B228" s="15" t="s">
        <v>421</v>
      </c>
      <c r="C228" s="15" t="s">
        <v>662</v>
      </c>
      <c r="D228" s="15" t="s">
        <v>663</v>
      </c>
      <c r="E228" s="15" t="s">
        <v>326</v>
      </c>
      <c r="F228" s="16" t="s">
        <v>83</v>
      </c>
      <c r="G228" s="8" t="n">
        <f aca="false">IFERROR(INDEX(Familles!$D$5:$D$56,MATCH(F228,Familles!$A$5:$A$56,0)),"")</f>
        <v>1</v>
      </c>
      <c r="H228" s="16"/>
      <c r="I228" s="16"/>
      <c r="J228" s="8" t="n">
        <f aca="false">IF(AND(H228="",G228=""),"",IF(H228&lt;&gt;"",H228,G228)*IF(I228="oui",1+MajHNO,1))</f>
        <v>1</v>
      </c>
      <c r="K228" s="17" t="n">
        <f aca="false">IF(J228="","",J228/MinParPoint)</f>
        <v>0.0666666666666667</v>
      </c>
    </row>
    <row r="229" customFormat="false" ht="15" hidden="false" customHeight="false" outlineLevel="0" collapsed="false">
      <c r="A229" s="15" t="s">
        <v>243</v>
      </c>
      <c r="B229" s="15" t="s">
        <v>421</v>
      </c>
      <c r="C229" s="15" t="s">
        <v>664</v>
      </c>
      <c r="D229" s="15" t="s">
        <v>665</v>
      </c>
      <c r="E229" s="15" t="s">
        <v>363</v>
      </c>
      <c r="F229" s="16" t="s">
        <v>155</v>
      </c>
      <c r="G229" s="8" t="n">
        <f aca="false">IFERROR(INDEX(Familles!$D$5:$D$56,MATCH(F229,Familles!$A$5:$A$56,0)),"")</f>
        <v>480</v>
      </c>
      <c r="H229" s="16"/>
      <c r="I229" s="16"/>
      <c r="J229" s="8" t="n">
        <f aca="false">IF(AND(H229="",G229=""),"",IF(H229&lt;&gt;"",H229,G229)*IF(I229="oui",1+MajHNO,1))</f>
        <v>480</v>
      </c>
      <c r="K229" s="17" t="n">
        <f aca="false">IF(J229="","",J229/MinParPoint)</f>
        <v>32</v>
      </c>
    </row>
    <row r="230" customFormat="false" ht="15" hidden="false" customHeight="false" outlineLevel="0" collapsed="false">
      <c r="A230" s="15" t="s">
        <v>243</v>
      </c>
      <c r="B230" s="15" t="s">
        <v>421</v>
      </c>
      <c r="C230" s="15" t="s">
        <v>666</v>
      </c>
      <c r="D230" s="15" t="s">
        <v>667</v>
      </c>
      <c r="E230" s="15" t="s">
        <v>363</v>
      </c>
      <c r="F230" s="16" t="s">
        <v>155</v>
      </c>
      <c r="G230" s="8" t="n">
        <f aca="false">IFERROR(INDEX(Familles!$D$5:$D$56,MATCH(F230,Familles!$A$5:$A$56,0)),"")</f>
        <v>480</v>
      </c>
      <c r="H230" s="16"/>
      <c r="I230" s="16"/>
      <c r="J230" s="8" t="n">
        <f aca="false">IF(AND(H230="",G230=""),"",IF(H230&lt;&gt;"",H230,G230)*IF(I230="oui",1+MajHNO,1))</f>
        <v>480</v>
      </c>
      <c r="K230" s="17" t="n">
        <f aca="false">IF(J230="","",J230/MinParPoint)</f>
        <v>32</v>
      </c>
    </row>
    <row r="231" customFormat="false" ht="15" hidden="false" customHeight="false" outlineLevel="0" collapsed="false">
      <c r="A231" s="15" t="s">
        <v>243</v>
      </c>
      <c r="B231" s="15" t="s">
        <v>421</v>
      </c>
      <c r="C231" s="15" t="s">
        <v>668</v>
      </c>
      <c r="D231" s="15" t="s">
        <v>669</v>
      </c>
      <c r="E231" s="15" t="s">
        <v>363</v>
      </c>
      <c r="F231" s="16" t="s">
        <v>144</v>
      </c>
      <c r="G231" s="8" t="n">
        <f aca="false">IFERROR(INDEX(Familles!$D$5:$D$56,MATCH(F231,Familles!$A$5:$A$56,0)),"")</f>
        <v>180</v>
      </c>
      <c r="H231" s="16"/>
      <c r="I231" s="16"/>
      <c r="J231" s="8" t="n">
        <f aca="false">IF(AND(H231="",G231=""),"",IF(H231&lt;&gt;"",H231,G231)*IF(I231="oui",1+MajHNO,1))</f>
        <v>180</v>
      </c>
      <c r="K231" s="17" t="n">
        <f aca="false">IF(J231="","",J231/MinParPoint)</f>
        <v>12</v>
      </c>
    </row>
    <row r="232" customFormat="false" ht="15" hidden="false" customHeight="false" outlineLevel="0" collapsed="false">
      <c r="A232" s="15" t="s">
        <v>243</v>
      </c>
      <c r="B232" s="15" t="s">
        <v>421</v>
      </c>
      <c r="C232" s="15" t="s">
        <v>670</v>
      </c>
      <c r="D232" s="15" t="s">
        <v>671</v>
      </c>
      <c r="E232" s="15" t="s">
        <v>284</v>
      </c>
      <c r="F232" s="16" t="s">
        <v>155</v>
      </c>
      <c r="G232" s="8" t="n">
        <f aca="false">IFERROR(INDEX(Familles!$D$5:$D$56,MATCH(F232,Familles!$A$5:$A$56,0)),"")</f>
        <v>480</v>
      </c>
      <c r="H232" s="16"/>
      <c r="I232" s="16"/>
      <c r="J232" s="8" t="n">
        <f aca="false">IF(AND(H232="",G232=""),"",IF(H232&lt;&gt;"",H232,G232)*IF(I232="oui",1+MajHNO,1))</f>
        <v>480</v>
      </c>
      <c r="K232" s="17" t="n">
        <f aca="false">IF(J232="","",J232/MinParPoint)</f>
        <v>32</v>
      </c>
    </row>
    <row r="233" customFormat="false" ht="15" hidden="false" customHeight="false" outlineLevel="0" collapsed="false">
      <c r="A233" s="15" t="s">
        <v>243</v>
      </c>
      <c r="B233" s="15" t="s">
        <v>421</v>
      </c>
      <c r="C233" s="15" t="s">
        <v>672</v>
      </c>
      <c r="D233" s="15" t="s">
        <v>673</v>
      </c>
      <c r="E233" s="15" t="s">
        <v>326</v>
      </c>
      <c r="F233" s="16" t="s">
        <v>83</v>
      </c>
      <c r="G233" s="8" t="n">
        <f aca="false">IFERROR(INDEX(Familles!$D$5:$D$56,MATCH(F233,Familles!$A$5:$A$56,0)),"")</f>
        <v>1</v>
      </c>
      <c r="H233" s="16"/>
      <c r="I233" s="16"/>
      <c r="J233" s="8" t="n">
        <f aca="false">IF(AND(H233="",G233=""),"",IF(H233&lt;&gt;"",H233,G233)*IF(I233="oui",1+MajHNO,1))</f>
        <v>1</v>
      </c>
      <c r="K233" s="17" t="n">
        <f aca="false">IF(J233="","",J233/MinParPoint)</f>
        <v>0.0666666666666667</v>
      </c>
    </row>
    <row r="234" customFormat="false" ht="15" hidden="false" customHeight="false" outlineLevel="0" collapsed="false">
      <c r="A234" s="15" t="s">
        <v>243</v>
      </c>
      <c r="B234" s="15" t="s">
        <v>421</v>
      </c>
      <c r="C234" s="15" t="s">
        <v>674</v>
      </c>
      <c r="D234" s="15" t="s">
        <v>675</v>
      </c>
      <c r="E234" s="15" t="s">
        <v>363</v>
      </c>
      <c r="F234" s="16" t="s">
        <v>155</v>
      </c>
      <c r="G234" s="8" t="n">
        <f aca="false">IFERROR(INDEX(Familles!$D$5:$D$56,MATCH(F234,Familles!$A$5:$A$56,0)),"")</f>
        <v>480</v>
      </c>
      <c r="H234" s="16"/>
      <c r="I234" s="16"/>
      <c r="J234" s="8" t="n">
        <f aca="false">IF(AND(H234="",G234=""),"",IF(H234&lt;&gt;"",H234,G234)*IF(I234="oui",1+MajHNO,1))</f>
        <v>480</v>
      </c>
      <c r="K234" s="17" t="n">
        <f aca="false">IF(J234="","",J234/MinParPoint)</f>
        <v>32</v>
      </c>
    </row>
    <row r="235" customFormat="false" ht="15" hidden="false" customHeight="false" outlineLevel="0" collapsed="false">
      <c r="A235" s="15" t="s">
        <v>243</v>
      </c>
      <c r="B235" s="15" t="s">
        <v>676</v>
      </c>
      <c r="C235" s="15" t="s">
        <v>677</v>
      </c>
      <c r="D235" s="15" t="s">
        <v>678</v>
      </c>
      <c r="E235" s="15" t="s">
        <v>284</v>
      </c>
      <c r="F235" s="16" t="s">
        <v>158</v>
      </c>
      <c r="G235" s="8" t="n">
        <f aca="false">IFERROR(INDEX(Familles!$D$5:$D$56,MATCH(F235,Familles!$A$5:$A$56,0)),"")</f>
        <v>120</v>
      </c>
      <c r="H235" s="16"/>
      <c r="I235" s="16"/>
      <c r="J235" s="8" t="n">
        <f aca="false">IF(AND(H235="",G235=""),"",IF(H235&lt;&gt;"",H235,G235)*IF(I235="oui",1+MajHNO,1))</f>
        <v>120</v>
      </c>
      <c r="K235" s="17" t="n">
        <f aca="false">IF(J235="","",J235/MinParPoint)</f>
        <v>8</v>
      </c>
    </row>
    <row r="236" customFormat="false" ht="15" hidden="false" customHeight="false" outlineLevel="0" collapsed="false">
      <c r="A236" s="15" t="s">
        <v>243</v>
      </c>
      <c r="B236" s="15" t="s">
        <v>676</v>
      </c>
      <c r="C236" s="15" t="s">
        <v>679</v>
      </c>
      <c r="D236" s="15" t="s">
        <v>680</v>
      </c>
      <c r="E236" s="15" t="s">
        <v>284</v>
      </c>
      <c r="F236" s="16" t="s">
        <v>158</v>
      </c>
      <c r="G236" s="8" t="n">
        <f aca="false">IFERROR(INDEX(Familles!$D$5:$D$56,MATCH(F236,Familles!$A$5:$A$56,0)),"")</f>
        <v>120</v>
      </c>
      <c r="H236" s="16"/>
      <c r="I236" s="16"/>
      <c r="J236" s="8" t="n">
        <f aca="false">IF(AND(H236="",G236=""),"",IF(H236&lt;&gt;"",H236,G236)*IF(I236="oui",1+MajHNO,1))</f>
        <v>120</v>
      </c>
      <c r="K236" s="17" t="n">
        <f aca="false">IF(J236="","",J236/MinParPoint)</f>
        <v>8</v>
      </c>
    </row>
    <row r="237" customFormat="false" ht="15" hidden="false" customHeight="false" outlineLevel="0" collapsed="false">
      <c r="A237" s="15" t="s">
        <v>243</v>
      </c>
      <c r="B237" s="15" t="s">
        <v>676</v>
      </c>
      <c r="C237" s="15" t="s">
        <v>681</v>
      </c>
      <c r="D237" s="15" t="s">
        <v>682</v>
      </c>
      <c r="E237" s="15" t="s">
        <v>284</v>
      </c>
      <c r="F237" s="16" t="s">
        <v>158</v>
      </c>
      <c r="G237" s="8" t="n">
        <f aca="false">IFERROR(INDEX(Familles!$D$5:$D$56,MATCH(F237,Familles!$A$5:$A$56,0)),"")</f>
        <v>120</v>
      </c>
      <c r="H237" s="16"/>
      <c r="I237" s="16"/>
      <c r="J237" s="8" t="n">
        <f aca="false">IF(AND(H237="",G237=""),"",IF(H237&lt;&gt;"",H237,G237)*IF(I237="oui",1+MajHNO,1))</f>
        <v>120</v>
      </c>
      <c r="K237" s="17" t="n">
        <f aca="false">IF(J237="","",J237/MinParPoint)</f>
        <v>8</v>
      </c>
    </row>
    <row r="238" customFormat="false" ht="15" hidden="false" customHeight="false" outlineLevel="0" collapsed="false">
      <c r="A238" s="15" t="s">
        <v>243</v>
      </c>
      <c r="B238" s="15" t="s">
        <v>676</v>
      </c>
      <c r="C238" s="15" t="s">
        <v>683</v>
      </c>
      <c r="D238" s="15" t="s">
        <v>684</v>
      </c>
      <c r="E238" s="15" t="s">
        <v>284</v>
      </c>
      <c r="F238" s="16" t="s">
        <v>162</v>
      </c>
      <c r="G238" s="8" t="n">
        <f aca="false">IFERROR(INDEX(Familles!$D$5:$D$56,MATCH(F238,Familles!$A$5:$A$56,0)),"")</f>
        <v>300</v>
      </c>
      <c r="H238" s="16"/>
      <c r="I238" s="16"/>
      <c r="J238" s="8" t="n">
        <f aca="false">IF(AND(H238="",G238=""),"",IF(H238&lt;&gt;"",H238,G238)*IF(I238="oui",1+MajHNO,1))</f>
        <v>300</v>
      </c>
      <c r="K238" s="17" t="n">
        <f aca="false">IF(J238="","",J238/MinParPoint)</f>
        <v>20</v>
      </c>
    </row>
    <row r="239" customFormat="false" ht="15" hidden="false" customHeight="false" outlineLevel="0" collapsed="false">
      <c r="A239" s="15" t="s">
        <v>243</v>
      </c>
      <c r="B239" s="15" t="s">
        <v>676</v>
      </c>
      <c r="C239" s="15" t="s">
        <v>685</v>
      </c>
      <c r="D239" s="15" t="s">
        <v>166</v>
      </c>
      <c r="E239" s="15" t="s">
        <v>284</v>
      </c>
      <c r="F239" s="16" t="s">
        <v>165</v>
      </c>
      <c r="G239" s="8" t="n">
        <f aca="false">IFERROR(INDEX(Familles!$D$5:$D$56,MATCH(F239,Familles!$A$5:$A$56,0)),"")</f>
        <v>600</v>
      </c>
      <c r="H239" s="16"/>
      <c r="I239" s="16"/>
      <c r="J239" s="8" t="n">
        <f aca="false">IF(AND(H239="",G239=""),"",IF(H239&lt;&gt;"",H239,G239)*IF(I239="oui",1+MajHNO,1))</f>
        <v>600</v>
      </c>
      <c r="K239" s="17" t="n">
        <f aca="false">IF(J239="","",J239/MinParPoint)</f>
        <v>40</v>
      </c>
    </row>
    <row r="240" customFormat="false" ht="15" hidden="false" customHeight="false" outlineLevel="0" collapsed="false">
      <c r="A240" s="15" t="s">
        <v>243</v>
      </c>
      <c r="B240" s="15" t="s">
        <v>676</v>
      </c>
      <c r="C240" s="15" t="s">
        <v>686</v>
      </c>
      <c r="D240" s="15" t="s">
        <v>169</v>
      </c>
      <c r="E240" s="15" t="s">
        <v>687</v>
      </c>
      <c r="F240" s="16" t="s">
        <v>168</v>
      </c>
      <c r="G240" s="8" t="n">
        <f aca="false">IFERROR(INDEX(Familles!$D$5:$D$56,MATCH(F240,Familles!$A$5:$A$56,0)),"")</f>
        <v>0.5</v>
      </c>
      <c r="H240" s="16"/>
      <c r="I240" s="16"/>
      <c r="J240" s="8" t="n">
        <f aca="false">IF(AND(H240="",G240=""),"",IF(H240&lt;&gt;"",H240,G240)*IF(I240="oui",1+MajHNO,1))</f>
        <v>0.5</v>
      </c>
      <c r="K240" s="17" t="n">
        <f aca="false">IF(J240="","",J240/MinParPoint)</f>
        <v>0.0333333333333333</v>
      </c>
    </row>
    <row r="241" customFormat="false" ht="15" hidden="false" customHeight="false" outlineLevel="0" collapsed="false">
      <c r="A241" s="15" t="s">
        <v>243</v>
      </c>
      <c r="B241" s="15" t="s">
        <v>676</v>
      </c>
      <c r="C241" s="15" t="s">
        <v>688</v>
      </c>
      <c r="D241" s="15" t="s">
        <v>689</v>
      </c>
      <c r="E241" s="15" t="s">
        <v>284</v>
      </c>
      <c r="F241" s="16" t="s">
        <v>158</v>
      </c>
      <c r="G241" s="8" t="n">
        <f aca="false">IFERROR(INDEX(Familles!$D$5:$D$56,MATCH(F241,Familles!$A$5:$A$56,0)),"")</f>
        <v>120</v>
      </c>
      <c r="H241" s="16"/>
      <c r="I241" s="16"/>
      <c r="J241" s="8" t="n">
        <f aca="false">IF(AND(H241="",G241=""),"",IF(H241&lt;&gt;"",H241,G241)*IF(I241="oui",1+MajHNO,1))</f>
        <v>120</v>
      </c>
      <c r="K241" s="17" t="n">
        <f aca="false">IF(J241="","",J241/MinParPoint)</f>
        <v>8</v>
      </c>
    </row>
    <row r="242" customFormat="false" ht="15" hidden="false" customHeight="false" outlineLevel="0" collapsed="false">
      <c r="A242" s="15" t="s">
        <v>243</v>
      </c>
      <c r="B242" s="15" t="s">
        <v>676</v>
      </c>
      <c r="C242" s="15" t="s">
        <v>690</v>
      </c>
      <c r="D242" s="15" t="s">
        <v>691</v>
      </c>
      <c r="E242" s="15" t="s">
        <v>284</v>
      </c>
      <c r="F242" s="16" t="s">
        <v>162</v>
      </c>
      <c r="G242" s="8" t="n">
        <f aca="false">IFERROR(INDEX(Familles!$D$5:$D$56,MATCH(F242,Familles!$A$5:$A$56,0)),"")</f>
        <v>300</v>
      </c>
      <c r="H242" s="16"/>
      <c r="I242" s="16"/>
      <c r="J242" s="8" t="n">
        <f aca="false">IF(AND(H242="",G242=""),"",IF(H242&lt;&gt;"",H242,G242)*IF(I242="oui",1+MajHNO,1))</f>
        <v>300</v>
      </c>
      <c r="K242" s="17" t="n">
        <f aca="false">IF(J242="","",J242/MinParPoint)</f>
        <v>20</v>
      </c>
    </row>
    <row r="243" customFormat="false" ht="15" hidden="false" customHeight="false" outlineLevel="0" collapsed="false">
      <c r="A243" s="15" t="s">
        <v>243</v>
      </c>
      <c r="B243" s="15" t="s">
        <v>676</v>
      </c>
      <c r="C243" s="15" t="s">
        <v>692</v>
      </c>
      <c r="D243" s="15" t="s">
        <v>693</v>
      </c>
      <c r="E243" s="15" t="s">
        <v>284</v>
      </c>
      <c r="F243" s="16" t="s">
        <v>158</v>
      </c>
      <c r="G243" s="8" t="n">
        <f aca="false">IFERROR(INDEX(Familles!$D$5:$D$56,MATCH(F243,Familles!$A$5:$A$56,0)),"")</f>
        <v>120</v>
      </c>
      <c r="H243" s="16"/>
      <c r="I243" s="16"/>
      <c r="J243" s="8" t="n">
        <f aca="false">IF(AND(H243="",G243=""),"",IF(H243&lt;&gt;"",H243,G243)*IF(I243="oui",1+MajHNO,1))</f>
        <v>120</v>
      </c>
      <c r="K243" s="17" t="n">
        <f aca="false">IF(J243="","",J243/MinParPoint)</f>
        <v>8</v>
      </c>
    </row>
    <row r="244" customFormat="false" ht="15" hidden="false" customHeight="false" outlineLevel="0" collapsed="false">
      <c r="A244" s="15" t="s">
        <v>243</v>
      </c>
      <c r="B244" s="15" t="s">
        <v>676</v>
      </c>
      <c r="C244" s="15" t="s">
        <v>694</v>
      </c>
      <c r="D244" s="15" t="s">
        <v>695</v>
      </c>
      <c r="E244" s="15" t="s">
        <v>284</v>
      </c>
      <c r="F244" s="16" t="s">
        <v>162</v>
      </c>
      <c r="G244" s="8" t="n">
        <f aca="false">IFERROR(INDEX(Familles!$D$5:$D$56,MATCH(F244,Familles!$A$5:$A$56,0)),"")</f>
        <v>300</v>
      </c>
      <c r="H244" s="16"/>
      <c r="I244" s="16"/>
      <c r="J244" s="8" t="n">
        <f aca="false">IF(AND(H244="",G244=""),"",IF(H244&lt;&gt;"",H244,G244)*IF(I244="oui",1+MajHNO,1))</f>
        <v>300</v>
      </c>
      <c r="K244" s="17" t="n">
        <f aca="false">IF(J244="","",J244/MinParPoint)</f>
        <v>20</v>
      </c>
    </row>
    <row r="245" customFormat="false" ht="15" hidden="false" customHeight="false" outlineLevel="0" collapsed="false">
      <c r="A245" s="15" t="s">
        <v>243</v>
      </c>
      <c r="B245" s="15" t="s">
        <v>676</v>
      </c>
      <c r="C245" s="15" t="s">
        <v>696</v>
      </c>
      <c r="D245" s="15" t="s">
        <v>172</v>
      </c>
      <c r="E245" s="15" t="s">
        <v>284</v>
      </c>
      <c r="F245" s="16" t="s">
        <v>171</v>
      </c>
      <c r="G245" s="8" t="n">
        <f aca="false">IFERROR(INDEX(Familles!$D$5:$D$56,MATCH(F245,Familles!$A$5:$A$56,0)),"")</f>
        <v>210</v>
      </c>
      <c r="H245" s="16"/>
      <c r="I245" s="16"/>
      <c r="J245" s="8" t="n">
        <f aca="false">IF(AND(H245="",G245=""),"",IF(H245&lt;&gt;"",H245,G245)*IF(I245="oui",1+MajHNO,1))</f>
        <v>210</v>
      </c>
      <c r="K245" s="17" t="n">
        <f aca="false">IF(J245="","",J245/MinParPoint)</f>
        <v>14</v>
      </c>
    </row>
    <row r="246" customFormat="false" ht="15" hidden="false" customHeight="false" outlineLevel="0" collapsed="false">
      <c r="A246" s="15" t="s">
        <v>243</v>
      </c>
      <c r="B246" s="15" t="s">
        <v>676</v>
      </c>
      <c r="C246" s="15" t="s">
        <v>697</v>
      </c>
      <c r="D246" s="15" t="s">
        <v>698</v>
      </c>
      <c r="E246" s="15" t="s">
        <v>284</v>
      </c>
      <c r="F246" s="16" t="s">
        <v>158</v>
      </c>
      <c r="G246" s="8" t="n">
        <f aca="false">IFERROR(INDEX(Familles!$D$5:$D$56,MATCH(F246,Familles!$A$5:$A$56,0)),"")</f>
        <v>120</v>
      </c>
      <c r="H246" s="16"/>
      <c r="I246" s="16"/>
      <c r="J246" s="8" t="n">
        <f aca="false">IF(AND(H246="",G246=""),"",IF(H246&lt;&gt;"",H246,G246)*IF(I246="oui",1+MajHNO,1))</f>
        <v>120</v>
      </c>
      <c r="K246" s="17" t="n">
        <f aca="false">IF(J246="","",J246/MinParPoint)</f>
        <v>8</v>
      </c>
    </row>
    <row r="247" customFormat="false" ht="15" hidden="false" customHeight="false" outlineLevel="0" collapsed="false">
      <c r="A247" s="15" t="s">
        <v>243</v>
      </c>
      <c r="B247" s="15" t="s">
        <v>676</v>
      </c>
      <c r="C247" s="15" t="s">
        <v>699</v>
      </c>
      <c r="D247" s="15" t="s">
        <v>700</v>
      </c>
      <c r="E247" s="15" t="s">
        <v>284</v>
      </c>
      <c r="F247" s="16" t="s">
        <v>158</v>
      </c>
      <c r="G247" s="8" t="n">
        <f aca="false">IFERROR(INDEX(Familles!$D$5:$D$56,MATCH(F247,Familles!$A$5:$A$56,0)),"")</f>
        <v>120</v>
      </c>
      <c r="H247" s="16"/>
      <c r="I247" s="16"/>
      <c r="J247" s="8" t="n">
        <f aca="false">IF(AND(H247="",G247=""),"",IF(H247&lt;&gt;"",H247,G247)*IF(I247="oui",1+MajHNO,1))</f>
        <v>120</v>
      </c>
      <c r="K247" s="17" t="n">
        <f aca="false">IF(J247="","",J247/MinParPoint)</f>
        <v>8</v>
      </c>
    </row>
    <row r="248" customFormat="false" ht="15" hidden="false" customHeight="false" outlineLevel="0" collapsed="false">
      <c r="A248" s="15" t="s">
        <v>243</v>
      </c>
      <c r="B248" s="15" t="s">
        <v>676</v>
      </c>
      <c r="C248" s="15" t="s">
        <v>701</v>
      </c>
      <c r="D248" s="15" t="s">
        <v>175</v>
      </c>
      <c r="E248" s="15" t="s">
        <v>284</v>
      </c>
      <c r="F248" s="16" t="s">
        <v>174</v>
      </c>
      <c r="G248" s="8" t="n">
        <f aca="false">IFERROR(INDEX(Familles!$D$5:$D$56,MATCH(F248,Familles!$A$5:$A$56,0)),"")</f>
        <v>20</v>
      </c>
      <c r="H248" s="16"/>
      <c r="I248" s="16"/>
      <c r="J248" s="8" t="n">
        <f aca="false">IF(AND(H248="",G248=""),"",IF(H248&lt;&gt;"",H248,G248)*IF(I248="oui",1+MajHNO,1))</f>
        <v>20</v>
      </c>
      <c r="K248" s="17" t="n">
        <f aca="false">IF(J248="","",J248/MinParPoint)</f>
        <v>1.33333333333333</v>
      </c>
    </row>
    <row r="249" customFormat="false" ht="15" hidden="false" customHeight="false" outlineLevel="0" collapsed="false">
      <c r="A249" s="15" t="s">
        <v>243</v>
      </c>
      <c r="B249" s="15" t="s">
        <v>676</v>
      </c>
      <c r="C249" s="15" t="s">
        <v>702</v>
      </c>
      <c r="D249" s="15" t="s">
        <v>703</v>
      </c>
      <c r="E249" s="15" t="s">
        <v>284</v>
      </c>
      <c r="F249" s="16" t="s">
        <v>158</v>
      </c>
      <c r="G249" s="8" t="n">
        <f aca="false">IFERROR(INDEX(Familles!$D$5:$D$56,MATCH(F249,Familles!$A$5:$A$56,0)),"")</f>
        <v>120</v>
      </c>
      <c r="H249" s="16"/>
      <c r="I249" s="16"/>
      <c r="J249" s="8" t="n">
        <f aca="false">IF(AND(H249="",G249=""),"",IF(H249&lt;&gt;"",H249,G249)*IF(I249="oui",1+MajHNO,1))</f>
        <v>120</v>
      </c>
      <c r="K249" s="17" t="n">
        <f aca="false">IF(J249="","",J249/MinParPoint)</f>
        <v>8</v>
      </c>
    </row>
    <row r="250" customFormat="false" ht="15" hidden="false" customHeight="false" outlineLevel="0" collapsed="false">
      <c r="A250" s="15" t="s">
        <v>243</v>
      </c>
      <c r="B250" s="15" t="s">
        <v>676</v>
      </c>
      <c r="C250" s="15" t="s">
        <v>704</v>
      </c>
      <c r="D250" s="15" t="s">
        <v>705</v>
      </c>
      <c r="E250" s="15" t="s">
        <v>284</v>
      </c>
      <c r="F250" s="16" t="s">
        <v>158</v>
      </c>
      <c r="G250" s="8" t="n">
        <f aca="false">IFERROR(INDEX(Familles!$D$5:$D$56,MATCH(F250,Familles!$A$5:$A$56,0)),"")</f>
        <v>120</v>
      </c>
      <c r="H250" s="16"/>
      <c r="I250" s="16"/>
      <c r="J250" s="8" t="n">
        <f aca="false">IF(AND(H250="",G250=""),"",IF(H250&lt;&gt;"",H250,G250)*IF(I250="oui",1+MajHNO,1))</f>
        <v>120</v>
      </c>
      <c r="K250" s="17" t="n">
        <f aca="false">IF(J250="","",J250/MinParPoint)</f>
        <v>8</v>
      </c>
    </row>
    <row r="251" customFormat="false" ht="15" hidden="false" customHeight="false" outlineLevel="0" collapsed="false">
      <c r="A251" s="15" t="s">
        <v>243</v>
      </c>
      <c r="B251" s="15" t="s">
        <v>676</v>
      </c>
      <c r="C251" s="15" t="s">
        <v>706</v>
      </c>
      <c r="D251" s="15" t="s">
        <v>707</v>
      </c>
      <c r="E251" s="15" t="s">
        <v>284</v>
      </c>
      <c r="F251" s="16" t="s">
        <v>158</v>
      </c>
      <c r="G251" s="8" t="n">
        <f aca="false">IFERROR(INDEX(Familles!$D$5:$D$56,MATCH(F251,Familles!$A$5:$A$56,0)),"")</f>
        <v>120</v>
      </c>
      <c r="H251" s="16"/>
      <c r="I251" s="16"/>
      <c r="J251" s="8" t="n">
        <f aca="false">IF(AND(H251="",G251=""),"",IF(H251&lt;&gt;"",H251,G251)*IF(I251="oui",1+MajHNO,1))</f>
        <v>120</v>
      </c>
      <c r="K251" s="17" t="n">
        <f aca="false">IF(J251="","",J251/MinParPoint)</f>
        <v>8</v>
      </c>
    </row>
    <row r="252" customFormat="false" ht="15" hidden="false" customHeight="false" outlineLevel="0" collapsed="false">
      <c r="A252" s="15" t="s">
        <v>243</v>
      </c>
      <c r="B252" s="15" t="s">
        <v>676</v>
      </c>
      <c r="C252" s="15" t="s">
        <v>708</v>
      </c>
      <c r="D252" s="15" t="s">
        <v>709</v>
      </c>
      <c r="E252" s="15" t="s">
        <v>284</v>
      </c>
      <c r="F252" s="16" t="s">
        <v>158</v>
      </c>
      <c r="G252" s="8" t="n">
        <f aca="false">IFERROR(INDEX(Familles!$D$5:$D$56,MATCH(F252,Familles!$A$5:$A$56,0)),"")</f>
        <v>120</v>
      </c>
      <c r="H252" s="16"/>
      <c r="I252" s="16"/>
      <c r="J252" s="8" t="n">
        <f aca="false">IF(AND(H252="",G252=""),"",IF(H252&lt;&gt;"",H252,G252)*IF(I252="oui",1+MajHNO,1))</f>
        <v>120</v>
      </c>
      <c r="K252" s="17" t="n">
        <f aca="false">IF(J252="","",J252/MinParPoint)</f>
        <v>8</v>
      </c>
    </row>
    <row r="253" customFormat="false" ht="15" hidden="false" customHeight="false" outlineLevel="0" collapsed="false">
      <c r="A253" s="15" t="s">
        <v>243</v>
      </c>
      <c r="B253" s="15" t="s">
        <v>676</v>
      </c>
      <c r="C253" s="15" t="s">
        <v>710</v>
      </c>
      <c r="D253" s="15" t="s">
        <v>711</v>
      </c>
      <c r="E253" s="15" t="s">
        <v>284</v>
      </c>
      <c r="F253" s="16" t="s">
        <v>162</v>
      </c>
      <c r="G253" s="8" t="n">
        <f aca="false">IFERROR(INDEX(Familles!$D$5:$D$56,MATCH(F253,Familles!$A$5:$A$56,0)),"")</f>
        <v>300</v>
      </c>
      <c r="H253" s="16"/>
      <c r="I253" s="16"/>
      <c r="J253" s="8" t="n">
        <f aca="false">IF(AND(H253="",G253=""),"",IF(H253&lt;&gt;"",H253,G253)*IF(I253="oui",1+MajHNO,1))</f>
        <v>300</v>
      </c>
      <c r="K253" s="17" t="n">
        <f aca="false">IF(J253="","",J253/MinParPoint)</f>
        <v>20</v>
      </c>
    </row>
    <row r="254" customFormat="false" ht="15" hidden="false" customHeight="false" outlineLevel="0" collapsed="false">
      <c r="A254" s="15" t="s">
        <v>243</v>
      </c>
      <c r="B254" s="15" t="s">
        <v>676</v>
      </c>
      <c r="C254" s="15" t="s">
        <v>712</v>
      </c>
      <c r="D254" s="15" t="s">
        <v>713</v>
      </c>
      <c r="E254" s="15" t="s">
        <v>363</v>
      </c>
      <c r="F254" s="16" t="s">
        <v>158</v>
      </c>
      <c r="G254" s="8" t="n">
        <f aca="false">IFERROR(INDEX(Familles!$D$5:$D$56,MATCH(F254,Familles!$A$5:$A$56,0)),"")</f>
        <v>120</v>
      </c>
      <c r="H254" s="16"/>
      <c r="I254" s="16"/>
      <c r="J254" s="8" t="n">
        <f aca="false">IF(AND(H254="",G254=""),"",IF(H254&lt;&gt;"",H254,G254)*IF(I254="oui",1+MajHNO,1))</f>
        <v>120</v>
      </c>
      <c r="K254" s="17" t="n">
        <f aca="false">IF(J254="","",J254/MinParPoint)</f>
        <v>8</v>
      </c>
    </row>
    <row r="255" customFormat="false" ht="15" hidden="false" customHeight="false" outlineLevel="0" collapsed="false">
      <c r="A255" s="15" t="s">
        <v>243</v>
      </c>
      <c r="B255" s="15" t="s">
        <v>676</v>
      </c>
      <c r="C255" s="15" t="s">
        <v>714</v>
      </c>
      <c r="D255" s="15" t="s">
        <v>715</v>
      </c>
      <c r="E255" s="15" t="s">
        <v>363</v>
      </c>
      <c r="F255" s="16" t="s">
        <v>158</v>
      </c>
      <c r="G255" s="8" t="n">
        <f aca="false">IFERROR(INDEX(Familles!$D$5:$D$56,MATCH(F255,Familles!$A$5:$A$56,0)),"")</f>
        <v>120</v>
      </c>
      <c r="H255" s="16"/>
      <c r="I255" s="16"/>
      <c r="J255" s="8" t="n">
        <f aca="false">IF(AND(H255="",G255=""),"",IF(H255&lt;&gt;"",H255,G255)*IF(I255="oui",1+MajHNO,1))</f>
        <v>120</v>
      </c>
      <c r="K255" s="17" t="n">
        <f aca="false">IF(J255="","",J255/MinParPoint)</f>
        <v>8</v>
      </c>
    </row>
    <row r="256" customFormat="false" ht="15" hidden="false" customHeight="false" outlineLevel="0" collapsed="false">
      <c r="A256" s="15" t="s">
        <v>243</v>
      </c>
      <c r="B256" s="15" t="s">
        <v>676</v>
      </c>
      <c r="C256" s="15" t="s">
        <v>716</v>
      </c>
      <c r="D256" s="15" t="s">
        <v>717</v>
      </c>
      <c r="E256" s="15" t="s">
        <v>284</v>
      </c>
      <c r="F256" s="16" t="s">
        <v>158</v>
      </c>
      <c r="G256" s="8" t="n">
        <f aca="false">IFERROR(INDEX(Familles!$D$5:$D$56,MATCH(F256,Familles!$A$5:$A$56,0)),"")</f>
        <v>120</v>
      </c>
      <c r="H256" s="16"/>
      <c r="I256" s="16"/>
      <c r="J256" s="8" t="n">
        <f aca="false">IF(AND(H256="",G256=""),"",IF(H256&lt;&gt;"",H256,G256)*IF(I256="oui",1+MajHNO,1))</f>
        <v>120</v>
      </c>
      <c r="K256" s="17" t="n">
        <f aca="false">IF(J256="","",J256/MinParPoint)</f>
        <v>8</v>
      </c>
    </row>
  </sheetData>
  <autoFilter ref="A4:K256"/>
  <dataValidations count="2">
    <dataValidation allowBlank="false" error="Choisis une famille de la liste (onglet Familles)." errorStyle="stop" operator="between" showDropDown="false" showErrorMessage="false" showInputMessage="false" sqref="F5:F256" type="list">
      <formula1>Familles!$A$5:$A$56</formula1>
      <formula2>0</formula2>
    </dataValidation>
    <dataValidation allowBlank="true" errorStyle="stop" operator="between" showDropDown="false" showErrorMessage="false" showInputMessage="false" sqref="I5:I256" type="list">
      <formula1>"oui"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58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718</v>
      </c>
    </row>
    <row r="2" customFormat="false" ht="15" hidden="false" customHeight="false" outlineLevel="0" collapsed="false">
      <c r="A2" s="6" t="s">
        <v>719</v>
      </c>
    </row>
    <row r="4" customFormat="false" ht="15" hidden="false" customHeight="false" outlineLevel="0" collapsed="false">
      <c r="A4" s="18" t="s">
        <v>720</v>
      </c>
      <c r="B4" s="18" t="s">
        <v>192</v>
      </c>
      <c r="C4" s="18" t="s">
        <v>193</v>
      </c>
      <c r="D4" s="18" t="s">
        <v>721</v>
      </c>
      <c r="E4" s="18" t="s">
        <v>31</v>
      </c>
      <c r="F4" s="18" t="s">
        <v>199</v>
      </c>
    </row>
    <row r="5" customFormat="false" ht="15" hidden="false" customHeight="false" outlineLevel="0" collapsed="false">
      <c r="A5" s="16" t="s">
        <v>722</v>
      </c>
      <c r="B5" s="16" t="s">
        <v>244</v>
      </c>
      <c r="C5" s="15" t="str">
        <f aca="false">IF(B5="","",IFERROR(INDEX(Prestations!$D$5:$D$256,MATCH(B5,Prestations!$C$5:$C$256,0)),"Code inconnu"))</f>
        <v>Ticket</v>
      </c>
      <c r="D5" s="16" t="n">
        <v>3</v>
      </c>
      <c r="E5" s="17" t="n">
        <f aca="false">IF(B5="","",IFERROR(INDEX(Prestations!$K$5:$K$256,MATCH(B5,Prestations!$C$5:$C$256,0)),0))</f>
        <v>8</v>
      </c>
      <c r="F5" s="8" t="n">
        <f aca="false">IF(B5="","",N(D5)*E5)</f>
        <v>24</v>
      </c>
    </row>
    <row r="6" customFormat="false" ht="15" hidden="false" customHeight="false" outlineLevel="0" collapsed="false">
      <c r="A6" s="16" t="s">
        <v>723</v>
      </c>
      <c r="B6" s="16" t="s">
        <v>249</v>
      </c>
      <c r="C6" s="15" t="str">
        <f aca="false">IF(B6="","",IFERROR(INDEX(Prestations!$D$5:$D$256,MATCH(B6,Prestations!$C$5:$C$256,0)),"Code inconnu"))</f>
        <v>Malfaçon aérien</v>
      </c>
      <c r="D6" s="16" t="n">
        <v>2</v>
      </c>
      <c r="E6" s="17" t="n">
        <f aca="false">IF(B6="","",IFERROR(INDEX(Prestations!$K$5:$K$256,MATCH(B6,Prestations!$C$5:$C$256,0)),0))</f>
        <v>10</v>
      </c>
      <c r="F6" s="8" t="n">
        <f aca="false">IF(B6="","",N(D6)*E6)</f>
        <v>20</v>
      </c>
    </row>
    <row r="7" customFormat="false" ht="15" hidden="false" customHeight="false" outlineLevel="0" collapsed="false">
      <c r="A7" s="16" t="s">
        <v>723</v>
      </c>
      <c r="B7" s="16" t="s">
        <v>273</v>
      </c>
      <c r="C7" s="15" t="str">
        <f aca="false">IF(B7="","",IFERROR(INDEX(Prestations!$D$5:$D$256,MATCH(B7,Prestations!$C$5:$C$256,0)),"Code inconnu"))</f>
        <v>Malfaçon souterrain</v>
      </c>
      <c r="D7" s="16" t="n">
        <v>1</v>
      </c>
      <c r="E7" s="17" t="n">
        <f aca="false">IF(B7="","",IFERROR(INDEX(Prestations!$K$5:$K$256,MATCH(B7,Prestations!$C$5:$C$256,0)),0))</f>
        <v>6</v>
      </c>
      <c r="F7" s="8" t="n">
        <f aca="false">IF(B7="","",N(D7)*E7)</f>
        <v>6</v>
      </c>
    </row>
    <row r="8" customFormat="false" ht="15" hidden="false" customHeight="false" outlineLevel="0" collapsed="false">
      <c r="A8" s="16"/>
      <c r="B8" s="16"/>
      <c r="C8" s="15" t="str">
        <f aca="false">IF(B8="","",IFERROR(INDEX(Prestations!$D$5:$D$256,MATCH(B8,Prestations!$C$5:$C$256,0)),"Code inconnu"))</f>
        <v/>
      </c>
      <c r="D8" s="16"/>
      <c r="E8" s="17" t="str">
        <f aca="false">IF(B8="","",IFERROR(INDEX(Prestations!$K$5:$K$256,MATCH(B8,Prestations!$C$5:$C$256,0)),0))</f>
        <v/>
      </c>
      <c r="F8" s="8" t="str">
        <f aca="false">IF(B8="","",N(D8)*E8)</f>
        <v/>
      </c>
    </row>
    <row r="9" customFormat="false" ht="15" hidden="false" customHeight="false" outlineLevel="0" collapsed="false">
      <c r="A9" s="16"/>
      <c r="B9" s="16"/>
      <c r="C9" s="15" t="str">
        <f aca="false">IF(B9="","",IFERROR(INDEX(Prestations!$D$5:$D$256,MATCH(B9,Prestations!$C$5:$C$256,0)),"Code inconnu"))</f>
        <v/>
      </c>
      <c r="D9" s="16"/>
      <c r="E9" s="17" t="str">
        <f aca="false">IF(B9="","",IFERROR(INDEX(Prestations!$K$5:$K$256,MATCH(B9,Prestations!$C$5:$C$256,0)),0))</f>
        <v/>
      </c>
      <c r="F9" s="8" t="str">
        <f aca="false">IF(B9="","",N(D9)*E9)</f>
        <v/>
      </c>
    </row>
    <row r="10" customFormat="false" ht="15" hidden="false" customHeight="false" outlineLevel="0" collapsed="false">
      <c r="A10" s="16"/>
      <c r="B10" s="16"/>
      <c r="C10" s="15" t="str">
        <f aca="false">IF(B10="","",IFERROR(INDEX(Prestations!$D$5:$D$256,MATCH(B10,Prestations!$C$5:$C$256,0)),"Code inconnu"))</f>
        <v/>
      </c>
      <c r="D10" s="16"/>
      <c r="E10" s="17" t="str">
        <f aca="false">IF(B10="","",IFERROR(INDEX(Prestations!$K$5:$K$256,MATCH(B10,Prestations!$C$5:$C$256,0)),0))</f>
        <v/>
      </c>
      <c r="F10" s="8" t="str">
        <f aca="false">IF(B10="","",N(D10)*E10)</f>
        <v/>
      </c>
    </row>
    <row r="12" customFormat="false" ht="15" hidden="false" customHeight="false" outlineLevel="0" collapsed="false">
      <c r="A12" s="4" t="s">
        <v>724</v>
      </c>
    </row>
    <row r="13" customFormat="false" ht="15" hidden="false" customHeight="false" outlineLevel="0" collapsed="false">
      <c r="A13" s="18" t="s">
        <v>720</v>
      </c>
      <c r="B13" s="18" t="s">
        <v>725</v>
      </c>
      <c r="C13" s="18" t="s">
        <v>726</v>
      </c>
      <c r="D13" s="18" t="s">
        <v>727</v>
      </c>
    </row>
    <row r="14" customFormat="false" ht="15" hidden="false" customHeight="false" outlineLevel="0" collapsed="false">
      <c r="A14" s="15" t="s">
        <v>722</v>
      </c>
      <c r="B14" s="8" t="n">
        <f aca="false">SUMIFS($F$5:$F$10,$A$5:$A$10,A14)</f>
        <v>24</v>
      </c>
      <c r="C14" s="8" t="n">
        <f aca="false">PointsJour</f>
        <v>28</v>
      </c>
      <c r="D14" s="19" t="n">
        <f aca="false">IF(C14&gt;0,B14/C14,"")</f>
        <v>0.857142857142857</v>
      </c>
    </row>
    <row r="15" customFormat="false" ht="15" hidden="false" customHeight="false" outlineLevel="0" collapsed="false">
      <c r="A15" s="15" t="s">
        <v>723</v>
      </c>
      <c r="B15" s="8" t="n">
        <f aca="false">SUMIFS($F$5:$F$10,$A$5:$A$10,A15)</f>
        <v>26</v>
      </c>
      <c r="C15" s="8" t="n">
        <f aca="false">PointsJour</f>
        <v>28</v>
      </c>
      <c r="D15" s="19" t="n">
        <f aca="false">IF(C15&gt;0,B15/C15,"")</f>
        <v>0.928571428571429</v>
      </c>
    </row>
    <row r="17" customFormat="false" ht="15" hidden="false" customHeight="false" outlineLevel="0" collapsed="false">
      <c r="A17" s="6" t="s">
        <v>728</v>
      </c>
    </row>
    <row r="18" customFormat="false" ht="15" hidden="false" customHeight="false" outlineLevel="0" collapsed="false">
      <c r="A18" s="6" t="s">
        <v>729</v>
      </c>
    </row>
    <row r="19" customFormat="false" ht="15" hidden="false" customHeight="false" outlineLevel="0" collapsed="false">
      <c r="A19" s="6" t="s">
        <v>730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2026-10-09T11:34:22Z</dcterms:created>
  <dc:creator>openpyxl</dc:creator>
  <dc:description/>
  <dc:language>en-US</dc:language>
  <cp:lastModifiedBy/>
  <dcterms:modified xsi:type="dcterms:W3CDTF">2026-10-09T11:34:22Z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