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vis" sheetId="1" state="visible" r:id="rId3"/>
    <sheet name="BPU" sheetId="2" state="visible" r:id="rId4"/>
    <sheet name="Majorations" sheetId="3" state="visible" r:id="rId5"/>
  </sheets>
  <definedNames>
    <definedName function="false" hidden="false" localSheetId="1" name="_xlnm.Print_Area" vbProcedure="false">BPU!$A$1:$I$117</definedName>
    <definedName function="false" hidden="false" localSheetId="1" name="_xlnm.Print_Titles" vbProcedure="false">BPU!$1:$1</definedName>
    <definedName function="false" hidden="true" localSheetId="1" name="_xlnm._FilterDatabase" vbProcedure="false">BPU!$A$1:$K$117</definedName>
    <definedName function="false" hidden="false" localSheetId="0" name="_xlnm.Print_Area" vbProcedure="false">Devis!$A$1:$H$61</definedName>
    <definedName function="false" hidden="false" localSheetId="0" name="_xlnm.Print_Titles" vbProcedure="false">Devis!$14:$14</definedName>
    <definedName function="false" hidden="false" name="Autoliq" vbProcedure="false">Devis!$N$3</definedName>
    <definedName function="false" hidden="false" name="ListeMajorations" vbProcedure="false">Majorations!$B$2:$B$3</definedName>
    <definedName function="false" hidden="false" name="ListePrestations" vbProcedure="false">BPU!$J$2:$J$117</definedName>
    <definedName function="false" hidden="false" name="TauxTVA" vbProcedure="false">Devis!$N$2</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N3" authorId="0">
      <text>
        <r>
          <rPr>
            <sz val="10"/>
            <rFont val="Arial"/>
            <family val="2"/>
          </rPr>
          <t xml:space="preserve">Oui : TVA à 0 et mention d'autoliquidation (sous-traitance de travaux). À valider avec votre comptable.</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H1" authorId="0">
      <text>
        <r>
          <rPr>
            <sz val="10"/>
            <rFont val="Arial"/>
            <family val="2"/>
          </rPr>
          <t xml:space="preserve">Maintenance : colonne « Prix unitaire Euro(s) / u ».
VDR Optique : colonne « PU ».</t>
        </r>
      </text>
    </comment>
  </commentList>
</comments>
</file>

<file path=xl/sharedStrings.xml><?xml version="1.0" encoding="utf-8"?>
<sst xmlns="http://schemas.openxmlformats.org/spreadsheetml/2006/main" count="1148" uniqueCount="581">
  <si>
    <t xml:space="preserve">Raison sociale</t>
  </si>
  <si>
    <t xml:space="preserve">DEVIS</t>
  </si>
  <si>
    <t xml:space="preserve">PARAMÈTRES</t>
  </si>
  <si>
    <t xml:space="preserve">Adresse</t>
  </si>
  <si>
    <t xml:space="preserve">N° de devis</t>
  </si>
  <si>
    <t xml:space="preserve">DEV-2026-001</t>
  </si>
  <si>
    <t xml:space="preserve">Taux de TVA</t>
  </si>
  <si>
    <t xml:space="preserve">Code postal – Ville</t>
  </si>
  <si>
    <t xml:space="preserve">Date</t>
  </si>
  <si>
    <t xml:space="preserve">Autoliquidation TVA</t>
  </si>
  <si>
    <t xml:space="preserve">Non</t>
  </si>
  <si>
    <t xml:space="preserve">SIRET : </t>
  </si>
  <si>
    <t xml:space="preserve">Validité (jours)</t>
  </si>
  <si>
    <t xml:space="preserve">N° TVA intracommunautaire : </t>
  </si>
  <si>
    <t xml:space="preserve">Valable jusqu'au</t>
  </si>
  <si>
    <t xml:space="preserve">Tél. :                     E-mail : </t>
  </si>
  <si>
    <t xml:space="preserve">Réf. client / commande</t>
  </si>
  <si>
    <t xml:space="preserve">COMMENT REMPLIR</t>
  </si>
  <si>
    <t xml:space="preserve">• Cases jaunes = à remplir. Tout le reste se calcule.</t>
  </si>
  <si>
    <t xml:space="preserve">CLIENT</t>
  </si>
  <si>
    <t xml:space="preserve">CHANTIER</t>
  </si>
  <si>
    <t xml:space="preserve">• Prestation : choisir dans la liste (code · désignation). Unité et prix viennent de l'onglet BPU.</t>
  </si>
  <si>
    <t xml:space="preserve">Société</t>
  </si>
  <si>
    <t xml:space="preserve">Projet / réseau</t>
  </si>
  <si>
    <t xml:space="preserve">Moselle Fibre – RHD57</t>
  </si>
  <si>
    <t xml:space="preserve">• Qté : en ml, unités, heures, fibres… selon l'unité affichée.</t>
  </si>
  <si>
    <t xml:space="preserve">Contact</t>
  </si>
  <si>
    <t xml:space="preserve">Objet</t>
  </si>
  <si>
    <t xml:space="preserve">Exemple : raccordements, SAV et pose de câble (à remplacer)</t>
  </si>
  <si>
    <t xml:space="preserve">• PU HT sur devis : seulement pour les lignes « Sur devis » (case orange) ou pour forcer un prix.</t>
  </si>
  <si>
    <t xml:space="preserve">Site / commune</t>
  </si>
  <si>
    <t xml:space="preserve">• Majoration : MC-07 (technicien supplémentaire) ou MC-08 (HNO) multiplie le montant de la ligne par le coefficient du BPU (onglet Majorations).</t>
  </si>
  <si>
    <t xml:space="preserve">Base de prix</t>
  </si>
  <si>
    <t xml:space="preserve">BPU Moselle Fibre – RHD57 (Maintenance et VDR Optique)</t>
  </si>
  <si>
    <t xml:space="preserve">• Les 6 lignes remplies sont un exemple : effacer les colonnes Prestation, Qté et Majoration.</t>
  </si>
  <si>
    <t xml:space="preserve">• 30 lignes prévues. Pour en ajouter : insérer des lignes au milieu du tableau, puis recopier une ligne remplie vers le bas.</t>
  </si>
  <si>
    <t xml:space="preserve">N°</t>
  </si>
  <si>
    <t xml:space="preserve">Prestation (code · désignation BPU)</t>
  </si>
  <si>
    <t xml:space="preserve">Unité</t>
  </si>
  <si>
    <t xml:space="preserve">Qté</t>
  </si>
  <si>
    <t xml:space="preserve">PU HT BPU</t>
  </si>
  <si>
    <t xml:space="preserve">PU HT
sur devis</t>
  </si>
  <si>
    <t xml:space="preserve">Majoration</t>
  </si>
  <si>
    <t xml:space="preserve">Montant HT</t>
  </si>
  <si>
    <t xml:space="preserve">lig</t>
  </si>
  <si>
    <t xml:space="preserve">prix</t>
  </si>
  <si>
    <t xml:space="preserve">• Seules les colonnes A à H s'impriment (paysage, une page de large).</t>
  </si>
  <si>
    <t xml:space="preserve">RA-F1 · Raccordement abonné Opera Pro (PM)</t>
  </si>
  <si>
    <t xml:space="preserve">MC-01 · Intervention Immédiate en HO TELECOM - opérations sur equipement actif</t>
  </si>
  <si>
    <t xml:space="preserve">MC-08 · Intervention en HNO</t>
  </si>
  <si>
    <t xml:space="preserve">MC-T1 · Heure de technicien équipé en HO (8h00 – 18h00) - Intervention Immédiate</t>
  </si>
  <si>
    <t xml:space="preserve">4.1.1 · Pose de câbles à fibres optiques, G657-A2 ou G652-D , de 1 FO à 144 FO</t>
  </si>
  <si>
    <t xml:space="preserve">4.3.2 · Pose boitier pour protection d'épissure, capacité jusqu'à 24 épissures</t>
  </si>
  <si>
    <t xml:space="preserve">4.8.1 · Raccordement par fibre sur câble optique inférieur ou égal à 24FO</t>
  </si>
  <si>
    <t xml:space="preserve">Total HT</t>
  </si>
  <si>
    <t xml:space="preserve">Total TTC</t>
  </si>
  <si>
    <t xml:space="preserve">CONDITIONS</t>
  </si>
  <si>
    <t xml:space="preserve">Prix unitaires HT issus du BPU Moselle Fibre – RHD57 (Maintenance et VDR Optique).</t>
  </si>
  <si>
    <t xml:space="preserve">Hors fourniture, sauf mention contraire du BPU.</t>
  </si>
  <si>
    <t xml:space="preserve">Conditions de paiement : à préciser.</t>
  </si>
  <si>
    <t xml:space="preserve">Pour l'entreprise – date, nom et signature</t>
  </si>
  <si>
    <t xml:space="preserve">Bon pour accord du client – date, nom, signature et cachet</t>
  </si>
  <si>
    <t xml:space="preserve">BPU</t>
  </si>
  <si>
    <t xml:space="preserve">Lot</t>
  </si>
  <si>
    <t xml:space="preserve">Famille</t>
  </si>
  <si>
    <t xml:space="preserve">Code</t>
  </si>
  <si>
    <t xml:space="preserve">Désignation</t>
  </si>
  <si>
    <t xml:space="preserve">Descriptif</t>
  </si>
  <si>
    <t xml:space="preserve">Prix BPU
€ HT / u</t>
  </si>
  <si>
    <t xml:space="preserve">Commentaire</t>
  </si>
  <si>
    <t xml:space="preserve">Libellé dans le devis</t>
  </si>
  <si>
    <t xml:space="preserve">Source</t>
  </si>
  <si>
    <t xml:space="preserve">Maintenance</t>
  </si>
  <si>
    <t xml:space="preserve">Rémunération et conditions de paiement au titre des Prestations de raccordements des clients</t>
  </si>
  <si>
    <t xml:space="preserve">Raccordements</t>
  </si>
  <si>
    <t xml:space="preserve">RA-F1</t>
  </si>
  <si>
    <t xml:space="preserve">Raccordement abonné Opera Pro (PM)</t>
  </si>
  <si>
    <t xml:space="preserve">Aiguillage, Tirage , Racco et mise en service quelque soit la distance et le type de raccordement ( Souterrain , Aérien,Façade, Immeuble)</t>
  </si>
  <si>
    <t xml:space="preserve">Forfait par opération</t>
  </si>
  <si>
    <t xml:space="preserve">à l'acte</t>
  </si>
  <si>
    <t xml:space="preserve">Maintenance BPU ST · BPU ligne 4</t>
  </si>
  <si>
    <t xml:space="preserve">RA-F2</t>
  </si>
  <si>
    <t xml:space="preserve">Raccordement abonné Opera Office (PM)</t>
  </si>
  <si>
    <t xml:space="preserve">RA-F2 · Raccordement abonné Opera Office (PM)</t>
  </si>
  <si>
    <t xml:space="preserve">Maintenance BPU ST · BPU ligne 5</t>
  </si>
  <si>
    <t xml:space="preserve">RA-F3</t>
  </si>
  <si>
    <t xml:space="preserve">Raccordement abonné Opera Business BLOM (PM)</t>
  </si>
  <si>
    <t xml:space="preserve">RA-F3 · Raccordement abonné Opera Business BLOM (PM)</t>
  </si>
  <si>
    <t xml:space="preserve">Maintenance BPU ST · BPU ligne 6</t>
  </si>
  <si>
    <t xml:space="preserve">RA-F4</t>
  </si>
  <si>
    <t xml:space="preserve">Raccordement abonné Opera Business BLOM (NRO)</t>
  </si>
  <si>
    <t xml:space="preserve">RA-F4 · Raccordement abonné Opera Business BLOM (NRO)</t>
  </si>
  <si>
    <t xml:space="preserve">Maintenance BPU ST · BPU ligne 7</t>
  </si>
  <si>
    <t xml:space="preserve">RA-ON</t>
  </si>
  <si>
    <t xml:space="preserve">Raccordement abonné Opera Business BLOD</t>
  </si>
  <si>
    <t xml:space="preserve">Pré-visite : reportage photos + aiguillage de la partie privée uniquement + CRVT : 108,45€ / MES : Aiguillage de la partie publique / Tirage et Raccordement + pose des équipements (PTO + ADVA) chez le client Aiguillage Hors founiture : 351,06€ / Jusqu'à 300ml ( 0,93€/ml au dela)</t>
  </si>
  <si>
    <t xml:space="preserve">RA-ON · Raccordement abonné Opera Business BLOD</t>
  </si>
  <si>
    <t xml:space="preserve">Maintenance BPU ST · BPU ligne 8</t>
  </si>
  <si>
    <t xml:space="preserve">Raccordement abonné Opera Business BLOD – ml au-delà de 300 ml</t>
  </si>
  <si>
    <t xml:space="preserve">Mètre linéaire au-delà des 300 ml compris dans le forfait</t>
  </si>
  <si>
    <t xml:space="preserve">ml</t>
  </si>
  <si>
    <t xml:space="preserve">D'après le descriptif de RA-ON (« jusqu'à 300ml, 0,93€/ml au-delà »)</t>
  </si>
  <si>
    <t xml:space="preserve">RA-ON · Raccordement abonné Opera Business BLOD – ml au-delà de 300 ml</t>
  </si>
  <si>
    <t xml:space="preserve">RA-B1</t>
  </si>
  <si>
    <t xml:space="preserve">Raccordement Service à destination des personnes âgées en situation de dépendance (BLOM)</t>
  </si>
  <si>
    <t xml:space="preserve">RA-B1 · Raccordement Service à destination des personnes âgées en situation de dépendance (BLOM)</t>
  </si>
  <si>
    <t xml:space="preserve">Maintenance BPU ST · BPU ligne 9</t>
  </si>
  <si>
    <t xml:space="preserve">Churn Opéra Pro</t>
  </si>
  <si>
    <t xml:space="preserve">Mise en place d'une Jarretierage au POP/NRO/PM + Pose ONT/PTO chez le client pour MES</t>
  </si>
  <si>
    <t xml:space="preserve">RA-ON · Churn Opéra Pro</t>
  </si>
  <si>
    <t xml:space="preserve">Maintenance BPU ST · BPU ligne 10</t>
  </si>
  <si>
    <t xml:space="preserve">Churn Opéra Office</t>
  </si>
  <si>
    <t xml:space="preserve">RA-B1 · Churn Opéra Office</t>
  </si>
  <si>
    <t xml:space="preserve">Maintenance BPU ST · BPU ligne 11</t>
  </si>
  <si>
    <t xml:space="preserve">RA-B2</t>
  </si>
  <si>
    <t xml:space="preserve">Churn Opéra Business</t>
  </si>
  <si>
    <t xml:space="preserve">RA-B2 · Churn Opéra Business</t>
  </si>
  <si>
    <t xml:space="preserve">Maintenance BPU ST · BPU ligne 12</t>
  </si>
  <si>
    <t xml:space="preserve">RA-RO</t>
  </si>
  <si>
    <t xml:space="preserve">Raccordement abonné FttO - Zone 0 (BLOD)</t>
  </si>
  <si>
    <t xml:space="preserve">Sur devis</t>
  </si>
  <si>
    <t xml:space="preserve">RA-RO · Raccordement abonné FttO - Zone 0 (BLOD)</t>
  </si>
  <si>
    <t xml:space="preserve">Maintenance BPU ST · BPU ligne 13</t>
  </si>
  <si>
    <t xml:space="preserve">Raccordement abonné FttO - Zone 1 (BLOD)</t>
  </si>
  <si>
    <t xml:space="preserve">RA-RO · Raccordement abonné FttO - Zone 1 (BLOD)</t>
  </si>
  <si>
    <t xml:space="preserve">Maintenance BPU ST · BPU ligne 14</t>
  </si>
  <si>
    <t xml:space="preserve">Raccordement abonné FttO - Zone 2 (BLOD)</t>
  </si>
  <si>
    <t xml:space="preserve">RA-RO · Raccordement abonné FttO - Zone 2 (BLOD)</t>
  </si>
  <si>
    <t xml:space="preserve">Maintenance BPU ST · BPU ligne 15</t>
  </si>
  <si>
    <t xml:space="preserve">Rémunération et conditions de paiement au titre des prestations de maintenance</t>
  </si>
  <si>
    <t xml:space="preserve">Astreinte</t>
  </si>
  <si>
    <t xml:space="preserve">AS-01</t>
  </si>
  <si>
    <t xml:space="preserve">Forfait mensuel pour mise à disposition d'une astreinte d'un technicien équipé</t>
  </si>
  <si>
    <t xml:space="preserve">Forfait global Mensuel</t>
  </si>
  <si>
    <t xml:space="preserve">Forfait mensuel</t>
  </si>
  <si>
    <t xml:space="preserve">AS-01 · Forfait mensuel pour mise à disposition d'une astreinte d'un technicien équipé</t>
  </si>
  <si>
    <t xml:space="preserve">Maintenance BPU ST · BPU ligne 18</t>
  </si>
  <si>
    <t xml:space="preserve">AS-02</t>
  </si>
  <si>
    <t xml:space="preserve">Forfait mensuel pour mise à disposition d'un 2 ème technicien d'astreinte équipé</t>
  </si>
  <si>
    <t xml:space="preserve">AS-02 · Forfait mensuel pour mise à disposition d'un 2 ème technicien d'astreinte équipé</t>
  </si>
  <si>
    <t xml:space="preserve">Maintenance BPU ST · BPU ligne 19</t>
  </si>
  <si>
    <t xml:space="preserve">Mini-forfait curatif</t>
  </si>
  <si>
    <t xml:space="preserve">MC-01</t>
  </si>
  <si>
    <t xml:space="preserve">Intervention Immédiate en HO TELECOM - opérations sur equipement actif</t>
  </si>
  <si>
    <t xml:space="preserve">Forfait par intervention</t>
  </si>
  <si>
    <t xml:space="preserve">Maintenance BPU ST · BPU ligne 22</t>
  </si>
  <si>
    <t xml:space="preserve">MC-02</t>
  </si>
  <si>
    <t xml:space="preserve">Intervention Programmée en HO TELECOM - opérations sur equipement actif</t>
  </si>
  <si>
    <t xml:space="preserve">MC-02 · Intervention Programmée en HO TELECOM - opérations sur equipement actif</t>
  </si>
  <si>
    <t xml:space="preserve">Maintenance BPU ST · BPU ligne 23</t>
  </si>
  <si>
    <t xml:space="preserve">MC-03</t>
  </si>
  <si>
    <t xml:space="preserve">Intervention Immédiate en HO ENVIRONNEMENT - énergie, climatisation, contrôle d'accès</t>
  </si>
  <si>
    <t xml:space="preserve">MC-03 · Intervention Immédiate en HO ENVIRONNEMENT - énergie, climatisation, contrôle d'accès</t>
  </si>
  <si>
    <t xml:space="preserve">Maintenance BPU ST · BPU ligne 24</t>
  </si>
  <si>
    <t xml:space="preserve">MC-04</t>
  </si>
  <si>
    <t xml:space="preserve">Intervention Programmée en HO ENVIRONNEMENT - énergie, climatisation, contrôle d'accès</t>
  </si>
  <si>
    <t xml:space="preserve">MC-04 · Intervention Programmée en HO ENVIRONNEMENT - énergie, climatisation, contrôle d'accès</t>
  </si>
  <si>
    <t xml:space="preserve">Maintenance BPU ST · BPU ligne 25</t>
  </si>
  <si>
    <t xml:space="preserve">MC-05</t>
  </si>
  <si>
    <t xml:space="preserve">SAV et ticket à froid yc. Intervention d'un technicien en HO</t>
  </si>
  <si>
    <t xml:space="preserve">MC-05 · SAV et ticket à froid yc. Intervention d'un technicien en HO</t>
  </si>
  <si>
    <t xml:space="preserve">Maintenance BPU ST · BPU ligne 26</t>
  </si>
  <si>
    <t xml:space="preserve">MC-06</t>
  </si>
  <si>
    <t xml:space="preserve">SAV et ticket à froid yc. Intervention de deux techniciens (nacelle incluse) en HO</t>
  </si>
  <si>
    <t xml:space="preserve">MC-06 · SAV et ticket à froid yc. Intervention de deux techniciens (nacelle incluse) en HO</t>
  </si>
  <si>
    <t xml:space="preserve">Maintenance BPU ST · BPU ligne 27</t>
  </si>
  <si>
    <t xml:space="preserve">MC-09</t>
  </si>
  <si>
    <t xml:space="preserve">SAV GTR 10h : Intervention d'un technicien en HO</t>
  </si>
  <si>
    <t xml:space="preserve">MC-09 · SAV GTR 10h : Intervention d'un technicien en HO</t>
  </si>
  <si>
    <t xml:space="preserve">Maintenance BPU ST · BPU ligne 30</t>
  </si>
  <si>
    <t xml:space="preserve">MC-10</t>
  </si>
  <si>
    <t xml:space="preserve">SAV GTR 10h : Intervention de deux techniciens (nacelle incluse) en HO</t>
  </si>
  <si>
    <t xml:space="preserve">MC-10 · SAV GTR 10h : Intervention de deux techniciens (nacelle incluse) en HO</t>
  </si>
  <si>
    <t xml:space="preserve">Maintenance BPU ST · BPU ligne 31</t>
  </si>
  <si>
    <t xml:space="preserve">Maintenance curative</t>
  </si>
  <si>
    <t xml:space="preserve">MC-T1</t>
  </si>
  <si>
    <t xml:space="preserve">Heure de technicien équipé en HO (8h00 – 18h00) - Intervention Immédiate</t>
  </si>
  <si>
    <t xml:space="preserve">Forfait par heure</t>
  </si>
  <si>
    <t xml:space="preserve">Maintenance BPU ST · BPU ligne 33</t>
  </si>
  <si>
    <t xml:space="preserve">MC-T2</t>
  </si>
  <si>
    <t xml:space="preserve">Heure de technicien équipé en HO (8h00 – 18h00) - Intervention Programmée</t>
  </si>
  <si>
    <t xml:space="preserve">MC-T2 · Heure de technicien équipé en HO (8h00 – 18h00) - Intervention Programmée</t>
  </si>
  <si>
    <t xml:space="preserve">Maintenance BPU ST · BPU ligne 34</t>
  </si>
  <si>
    <t xml:space="preserve">MC-T3</t>
  </si>
  <si>
    <t xml:space="preserve">Heure de technicien équipé en HNO (18H01 – 7h59)</t>
  </si>
  <si>
    <t xml:space="preserve">MC-T3 · Heure de technicien équipé en HNO (18H01 – 7h59)</t>
  </si>
  <si>
    <t xml:space="preserve">Maintenance BPU ST · BPU ligne 35</t>
  </si>
  <si>
    <t xml:space="preserve">MC-T4</t>
  </si>
  <si>
    <t xml:space="preserve">Intervention de 2 techniciens équipés d'une nacelle &lt;= 16m en HO</t>
  </si>
  <si>
    <t xml:space="preserve">MC-T4 · Intervention de 2 techniciens équipés d'une nacelle &lt;= 16m en HO</t>
  </si>
  <si>
    <t xml:space="preserve">Maintenance BPU ST · BPU ligne 36</t>
  </si>
  <si>
    <t xml:space="preserve">MC-T5</t>
  </si>
  <si>
    <t xml:space="preserve">Intervention de 2 techniciens équipés d'une nacelle &lt;= 16m en HNO</t>
  </si>
  <si>
    <t xml:space="preserve">MC-T5 · Intervention de 2 techniciens équipés d'une nacelle &lt;= 16m en HNO</t>
  </si>
  <si>
    <t xml:space="preserve">Maintenance BPU ST · BPU ligne 37</t>
  </si>
  <si>
    <t xml:space="preserve">MC-T6</t>
  </si>
  <si>
    <t xml:space="preserve">Mise à disposition d'une nacelle exceptionnelle (&gt;16m, nacelle araignée, 4x4, inversée) - un jour</t>
  </si>
  <si>
    <t xml:space="preserve">Par mètre (hauteur nacelle)</t>
  </si>
  <si>
    <t xml:space="preserve">MC-T6 · Mise à disposition d'une nacelle exceptionnelle (&gt;16m, nacelle araignée, 4x4, inversée) - un…</t>
  </si>
  <si>
    <t xml:space="preserve">Maintenance BPU ST · BPU ligne 38</t>
  </si>
  <si>
    <t xml:space="preserve">Commandes des usagers</t>
  </si>
  <si>
    <t xml:space="preserve">PU-01</t>
  </si>
  <si>
    <t xml:space="preserve">Installation électrique au NRO yc. fourniture et pose du tiroir optique dans la baie de transport</t>
  </si>
  <si>
    <t xml:space="preserve">Par commande</t>
  </si>
  <si>
    <t xml:space="preserve">PU-01 · Installation électrique au NRO yc. fourniture et pose du tiroir optique dans la baie de…</t>
  </si>
  <si>
    <t xml:space="preserve">Maintenance BPU ST · BPU ligne 40</t>
  </si>
  <si>
    <t xml:space="preserve">PU-02</t>
  </si>
  <si>
    <t xml:space="preserve">Fourniture et pose d'un tiroir optique dans la baie de transport</t>
  </si>
  <si>
    <t xml:space="preserve">PU-02 · Fourniture et pose d'un tiroir optique dans la baie de transport</t>
  </si>
  <si>
    <t xml:space="preserve">Maintenance BPU ST · BPU ligne 41</t>
  </si>
  <si>
    <t xml:space="preserve">PU-03</t>
  </si>
  <si>
    <t xml:space="preserve">Fourniture et pose d’une jarretière entre la baie Opérateur et la baie OCEN</t>
  </si>
  <si>
    <t xml:space="preserve">PU-03 · Fourniture et pose d’une jarretière entre la baie Opérateur et la baie OCEN</t>
  </si>
  <si>
    <t xml:space="preserve">Maintenance BPU ST · BPU ligne 42</t>
  </si>
  <si>
    <t xml:space="preserve">PU-04</t>
  </si>
  <si>
    <t xml:space="preserve">Fourniture et pose de jarretières entre la tête de câble OC et le tiroir transport PM dans le NRO</t>
  </si>
  <si>
    <t xml:space="preserve">PU-04 · Fourniture et pose de jarretières entre la tête de câble OC et le tiroir transport PM dans le…</t>
  </si>
  <si>
    <t xml:space="preserve">Maintenance BPU ST · BPU ligne 43</t>
  </si>
  <si>
    <t xml:space="preserve">PU-05</t>
  </si>
  <si>
    <t xml:space="preserve">Fourniture et pose au NRO d'une baie 42U yc. raccordement du PDU</t>
  </si>
  <si>
    <t xml:space="preserve">PU-05 · Fourniture et pose au NRO d'une baie 42U yc. raccordement du PDU</t>
  </si>
  <si>
    <t xml:space="preserve">Maintenance BPU ST · BPU ligne 44</t>
  </si>
  <si>
    <t xml:space="preserve">PU-06</t>
  </si>
  <si>
    <t xml:space="preserve">Fourniture et pose au NRO d'une baie 21U yc. raccordement du PDU</t>
  </si>
  <si>
    <t xml:space="preserve">PU-06 · Fourniture et pose au NRO d'une baie 21U yc. raccordement du PDU</t>
  </si>
  <si>
    <t xml:space="preserve">Maintenance BPU ST · BPU ligne 45</t>
  </si>
  <si>
    <t xml:space="preserve">VDR Optique</t>
  </si>
  <si>
    <t xml:space="preserve">1 - Infrastructures tièrces</t>
  </si>
  <si>
    <t xml:space="preserve">1.1</t>
  </si>
  <si>
    <t xml:space="preserve">Aiguillage de génie civil sous-terrain existant</t>
  </si>
  <si>
    <t xml:space="preserve">Ce prix rémunère au métre mesuré sur place l'aiguillage de conduite existante (réseau Orange, ou tiers) afin de vérifier la disponibilité de cette conduite en vue d'un futur passage de câble et comprend: - l'aiguillage de la conduite existante - la pose d'un filin et étiquette - la détection des points de blocage - si nécessaire, le nettoyage manuel de la chambre</t>
  </si>
  <si>
    <t xml:space="preserve">1.1 · Aiguillage de génie civil sous-terrain existant</t>
  </si>
  <si>
    <t xml:space="preserve">BPU ST VDR Optique · BPU MISSION 3 Optique ligne 5</t>
  </si>
  <si>
    <t xml:space="preserve">1.2</t>
  </si>
  <si>
    <t xml:space="preserve">Débouchage de réseaux existants à l'aide d'un camion d'hydrocurage</t>
  </si>
  <si>
    <t xml:space="preserve">Ce prix rémunère à l'unité le débouchage d'une conduite obstruée comprenant: - une équipe pour accès aux regards - un camion d'hydrocurage avec son personnel spécialisé et habilité - redevance pour le traitement des déchets Ce prix tient compte de la fourniture et la mise en place des signalisations chantier (déviations éventuelles, alternats manuels K10,...).</t>
  </si>
  <si>
    <t xml:space="preserve">U</t>
  </si>
  <si>
    <t xml:space="preserve">1.2 · Débouchage de réseaux existants à l'aide d'un camion d'hydrocurage</t>
  </si>
  <si>
    <t xml:space="preserve">BPU ST VDR Optique · BPU MISSION 3 Optique ligne 6</t>
  </si>
  <si>
    <t xml:space="preserve">1.3</t>
  </si>
  <si>
    <t xml:space="preserve">Relevé de masques de chambre FT non plafonnée et édition de la fiche FOA conformément à l'offre de référence iBLO de France Télécom, hors aiguillage</t>
  </si>
  <si>
    <t xml:space="preserve">1.3 · Relevé de masques de chambre FT non plafonnée et édition de la fiche FOA conformément à…</t>
  </si>
  <si>
    <t xml:space="preserve">BPU ST VDR Optique · BPU MISSION 3 Optique ligne 7</t>
  </si>
  <si>
    <t xml:space="preserve">1.4</t>
  </si>
  <si>
    <t xml:space="preserve">Relevé de masques de chambre FT plafonnée et édition de la fiche FOA conformément à l'offre de référence iBLO de France Télécom, hors aiguillage</t>
  </si>
  <si>
    <t xml:space="preserve">1.4 · Relevé de masques de chambre FT plafonnée et édition de la fiche FOA conformément à l'offre de…</t>
  </si>
  <si>
    <t xml:space="preserve">BPU ST VDR Optique · BPU MISSION 3 Optique ligne 8</t>
  </si>
  <si>
    <t xml:space="preserve">4 - Câbles optiques, étiquetage, DOE inclus</t>
  </si>
  <si>
    <t xml:space="preserve">4.1 - Pose et dépose de câbles optiques pour pose en fourreau</t>
  </si>
  <si>
    <t xml:space="preserve">4.1.1</t>
  </si>
  <si>
    <t xml:space="preserve">Pose de câbles à fibres optiques, G657-A2 ou G652-D , de 1 FO à 144 FO</t>
  </si>
  <si>
    <t xml:space="preserve">Ce prix rémunère au métre mesuré sur place la pose en fourreau de cable comprenant : - la pose de cable à fibres optiques, - le matériel nécessaire à la mise en place (soufalge à l'aire ou à l'eau, etc) - la fourniture et la mise en place des signalisations chantier (déviations éventuelles, alternats manuels K10,...</t>
  </si>
  <si>
    <t xml:space="preserve">BPU ST VDR Optique · BPU MISSION 3 Optique ligne 12</t>
  </si>
  <si>
    <t xml:space="preserve">4.1.13</t>
  </si>
  <si>
    <t xml:space="preserve">Pose de câbles à fibres optiques, G657-A2 ou G652-D , supérieur ou égal à 288FO</t>
  </si>
  <si>
    <t xml:space="preserve">4.1.13 · Pose de câbles à fibres optiques, G657-A2 ou G652-D , supérieur ou égal à 288FO</t>
  </si>
  <si>
    <t xml:space="preserve">BPU ST VDR Optique · BPU MISSION 3 Optique ligne 13</t>
  </si>
  <si>
    <t xml:space="preserve">4.1.14</t>
  </si>
  <si>
    <t xml:space="preserve">Dépose de câbles à fibres optiques</t>
  </si>
  <si>
    <t xml:space="preserve">4.1.14 · Dépose de câbles à fibres optiques</t>
  </si>
  <si>
    <t xml:space="preserve">BPU ST VDR Optique · BPU MISSION 3 Optique ligne 14</t>
  </si>
  <si>
    <t xml:space="preserve">Moins-Value si pose par portage à l'air ou à l'eau dans conduite libre</t>
  </si>
  <si>
    <t xml:space="preserve">4.1.14 · Moins-Value si pose par portage à l'air ou à l'eau dans conduite libre</t>
  </si>
  <si>
    <t xml:space="preserve">BPU ST VDR Optique · BPU MISSION 3 Optique ligne 15</t>
  </si>
  <si>
    <t xml:space="preserve">Moins-Value si pose par portage à l'air ou à l'aeau dans conduite occupée</t>
  </si>
  <si>
    <t xml:space="preserve">4.1.14 · Moins-Value si pose par portage à l'air ou à l'aeau dans conduite occupée</t>
  </si>
  <si>
    <t xml:space="preserve">BPU ST VDR Optique · BPU MISSION 3 Optique ligne 16</t>
  </si>
  <si>
    <t xml:space="preserve">4.2 - Pose et dépose de câbles optiques pour pose en aérien</t>
  </si>
  <si>
    <t xml:space="preserve">4.2.1</t>
  </si>
  <si>
    <t xml:space="preserve">Pose de câbles à fibres optiques de 1 à 12 FO</t>
  </si>
  <si>
    <t xml:space="preserve">Ce prix rémunère au métre mesuré sur place la pose en aérien de cable comprenant : - la pose de cable à fibres optiques, - le matériel nécessaire à la mise en place (nacelle, etc) - la fourniture et la mise en place des signalisations chantier (déviations éventuelles, alternats manuels K10,...</t>
  </si>
  <si>
    <t xml:space="preserve">4.2.1 · Pose de câbles à fibres optiques de 1 à 12 FO</t>
  </si>
  <si>
    <t xml:space="preserve">BPU ST VDR Optique · BPU MISSION 3 Optique ligne 19</t>
  </si>
  <si>
    <t xml:space="preserve">4.2.5</t>
  </si>
  <si>
    <t xml:space="preserve">Pose de câbles à fibres optiques de 24 FO à 144 FO</t>
  </si>
  <si>
    <t xml:space="preserve">4.2.5 · Pose de câbles à fibres optiques de 24 FO à 144 FO</t>
  </si>
  <si>
    <t xml:space="preserve">BPU ST VDR Optique · BPU MISSION 3 Optique ligne 20</t>
  </si>
  <si>
    <t xml:space="preserve">4.2.11</t>
  </si>
  <si>
    <t xml:space="preserve">Plus-value pour pose de câbles optiques sur façade</t>
  </si>
  <si>
    <t xml:space="preserve">4.2.11 · Plus-value pour pose de câbles optiques sur façade</t>
  </si>
  <si>
    <t xml:space="preserve">BPU ST VDR Optique · BPU MISSION 3 Optique ligne 21</t>
  </si>
  <si>
    <t xml:space="preserve">4.2.12</t>
  </si>
  <si>
    <t xml:space="preserve">4.2.12 · Dépose de câbles à fibres optiques</t>
  </si>
  <si>
    <t xml:space="preserve">BPU ST VDR Optique · BPU MISSION 3 Optique ligne 22</t>
  </si>
  <si>
    <t xml:space="preserve">2.9.16</t>
  </si>
  <si>
    <t xml:space="preserve">Armement appui commun existant</t>
  </si>
  <si>
    <t xml:space="preserve">Ce prix rémunère au poteau la fourniture et la mise en place de l'armement sur appui existant et comprend la fourniture et pose de l'armement suivant configuration de l'appui (pinces d'ancrage pour fixation du cable sur l'appui existant, console, feuillard, réhausse, traverse, dispositif de suspension du cable )</t>
  </si>
  <si>
    <t xml:space="preserve">u</t>
  </si>
  <si>
    <t xml:space="preserve">2.9.16 · Armement appui commun existant</t>
  </si>
  <si>
    <t xml:space="preserve">BPU ST VDR Optique · BPU MISSION 3 Optique ligne 23</t>
  </si>
  <si>
    <t xml:space="preserve">4.3 - Pose et dépose de boîtiers de protection d'épissures (BPE) souterrains</t>
  </si>
  <si>
    <t xml:space="preserve">4.3.1</t>
  </si>
  <si>
    <t xml:space="preserve">Pose boitier pour protection d'épissure, capacité jusqu'à 12 épissures</t>
  </si>
  <si>
    <t xml:space="preserve">Ce prix rémunère à l'unité la pose d'un Boitier de Protection d'Epissure comprenant : - la pose du BPE et sa fixation en chambre - les raccordements des fibres - la fourniture et la mise en place des signalisations chantier (déviations éventuelles, alternats manuels K10,...</t>
  </si>
  <si>
    <t xml:space="preserve">4.3.1 · Pose boitier pour protection d'épissure, capacité jusqu'à 12 épissures</t>
  </si>
  <si>
    <t xml:space="preserve">BPU ST VDR Optique · BPU MISSION 3 Optique ligne 26</t>
  </si>
  <si>
    <t xml:space="preserve">4.3.2</t>
  </si>
  <si>
    <t xml:space="preserve">Pose boitier pour protection d'épissure, capacité jusqu'à 24 épissures</t>
  </si>
  <si>
    <t xml:space="preserve">BPU ST VDR Optique · BPU MISSION 3 Optique ligne 27</t>
  </si>
  <si>
    <t xml:space="preserve">4.3.3</t>
  </si>
  <si>
    <t xml:space="preserve">Pose boitier pour protection d'épissure, capacité jusqu'à 36 épissures</t>
  </si>
  <si>
    <t xml:space="preserve">4.3.3 · Pose boitier pour protection d'épissure, capacité jusqu'à 36 épissures</t>
  </si>
  <si>
    <t xml:space="preserve">BPU ST VDR Optique · BPU MISSION 3 Optique ligne 28</t>
  </si>
  <si>
    <t xml:space="preserve">4.3.4</t>
  </si>
  <si>
    <t xml:space="preserve">Pose boitier pour protection d'épissure, capacité jusqu'à 48 épissures</t>
  </si>
  <si>
    <t xml:space="preserve">4.3.4 · Pose boitier pour protection d'épissure, capacité jusqu'à 48 épissures</t>
  </si>
  <si>
    <t xml:space="preserve">BPU ST VDR Optique · BPU MISSION 3 Optique ligne 29</t>
  </si>
  <si>
    <t xml:space="preserve">4.3.5</t>
  </si>
  <si>
    <t xml:space="preserve">Pose boitier pour protection d'épissure, capacité jusqu'à 72 épissures</t>
  </si>
  <si>
    <t xml:space="preserve">4.3.5 · Pose boitier pour protection d'épissure, capacité jusqu'à 72 épissures</t>
  </si>
  <si>
    <t xml:space="preserve">BPU ST VDR Optique · BPU MISSION 3 Optique ligne 30</t>
  </si>
  <si>
    <t xml:space="preserve">4.3.6</t>
  </si>
  <si>
    <t xml:space="preserve">Pose boitier pour protection d'épissure, capacité jusqu'à 96 épissures</t>
  </si>
  <si>
    <t xml:space="preserve">4.3.6 · Pose boitier pour protection d'épissure, capacité jusqu'à 96 épissures</t>
  </si>
  <si>
    <t xml:space="preserve">BPU ST VDR Optique · BPU MISSION 3 Optique ligne 31</t>
  </si>
  <si>
    <t xml:space="preserve">4.3.7</t>
  </si>
  <si>
    <t xml:space="preserve">Pose boitier pour protection d'épissure, capacité jusqu'à 144 épissures</t>
  </si>
  <si>
    <t xml:space="preserve">4.3.7 · Pose boitier pour protection d'épissure, capacité jusqu'à 144 épissures</t>
  </si>
  <si>
    <t xml:space="preserve">BPU ST VDR Optique · BPU MISSION 3 Optique ligne 32</t>
  </si>
  <si>
    <t xml:space="preserve">4.3.8</t>
  </si>
  <si>
    <t xml:space="preserve">Pose boitier pour protection d'épissure, capacité jusqu'à 288 épissures</t>
  </si>
  <si>
    <t xml:space="preserve">4.3.8 · Pose boitier pour protection d'épissure, capacité jusqu'à 288 épissures</t>
  </si>
  <si>
    <t xml:space="preserve">BPU ST VDR Optique · BPU MISSION 3 Optique ligne 33</t>
  </si>
  <si>
    <t xml:space="preserve">4.3.9</t>
  </si>
  <si>
    <t xml:space="preserve">Réintervention sur BPE souterrain</t>
  </si>
  <si>
    <t xml:space="preserve">4.3.9 · Réintervention sur BPE souterrain</t>
  </si>
  <si>
    <t xml:space="preserve">BPU ST VDR Optique · BPU MISSION 3 Optique ligne 34</t>
  </si>
  <si>
    <t xml:space="preserve">4.3.10</t>
  </si>
  <si>
    <t xml:space="preserve">Dépose boitier pour protection d'épissure, capacité jusqu'à 288 épissures</t>
  </si>
  <si>
    <t xml:space="preserve">4.3.10 · Dépose boitier pour protection d'épissure, capacité jusqu'à 288 épissures</t>
  </si>
  <si>
    <t xml:space="preserve">BPU ST VDR Optique · BPU MISSION 3 Optique ligne 35</t>
  </si>
  <si>
    <t xml:space="preserve">4.4 - Pose et dépose de boîtiers de protection d'épissures (BPE) aériens</t>
  </si>
  <si>
    <t xml:space="preserve">4.4.1</t>
  </si>
  <si>
    <t xml:space="preserve">Pose boitier pour protection d'épissure, capacité jusqu'à 6 épissures</t>
  </si>
  <si>
    <t xml:space="preserve">Ce prix rémunère à l'unité la pose d'un Boitier de Protection d'Epissure comprenant : - la pose du BPE et sa fixation sur poteau ou sur façade - les raccordements des fibres - la fourniture et la mise en place des signalisations chantier (déviations éventuelles, alternats manuels K10,...</t>
  </si>
  <si>
    <t xml:space="preserve">4.4.1 · Pose boitier pour protection d'épissure, capacité jusqu'à 6 épissures</t>
  </si>
  <si>
    <t xml:space="preserve">BPU ST VDR Optique · BPU MISSION 3 Optique ligne 38</t>
  </si>
  <si>
    <t xml:space="preserve">4.4.2</t>
  </si>
  <si>
    <t xml:space="preserve">4.4.2 · Pose boitier pour protection d'épissure, capacité jusqu'à 12 épissures</t>
  </si>
  <si>
    <t xml:space="preserve">BPU ST VDR Optique · BPU MISSION 3 Optique ligne 39</t>
  </si>
  <si>
    <t xml:space="preserve">4.4.3</t>
  </si>
  <si>
    <t xml:space="preserve">4.4.3 · Pose boitier pour protection d'épissure, capacité jusqu'à 24 épissures</t>
  </si>
  <si>
    <t xml:space="preserve">BPU ST VDR Optique · BPU MISSION 3 Optique ligne 40</t>
  </si>
  <si>
    <t xml:space="preserve">4.4.4</t>
  </si>
  <si>
    <t xml:space="preserve">4.4.4 · Pose boitier pour protection d'épissure, capacité jusqu'à 36 épissures</t>
  </si>
  <si>
    <t xml:space="preserve">BPU ST VDR Optique · BPU MISSION 3 Optique ligne 41</t>
  </si>
  <si>
    <t xml:space="preserve">4.4.5</t>
  </si>
  <si>
    <t xml:space="preserve">4.4.5 · Pose boitier pour protection d'épissure, capacité jusqu'à 48 épissures</t>
  </si>
  <si>
    <t xml:space="preserve">BPU ST VDR Optique · BPU MISSION 3 Optique ligne 42</t>
  </si>
  <si>
    <t xml:space="preserve">4.4.6</t>
  </si>
  <si>
    <t xml:space="preserve">4.4.6 · Pose boitier pour protection d'épissure, capacité jusqu'à 72 épissures</t>
  </si>
  <si>
    <t xml:space="preserve">BPU ST VDR Optique · BPU MISSION 3 Optique ligne 43</t>
  </si>
  <si>
    <t xml:space="preserve">4.4.7</t>
  </si>
  <si>
    <t xml:space="preserve">4.4.7 · Pose boitier pour protection d'épissure, capacité jusqu'à 96 épissures</t>
  </si>
  <si>
    <t xml:space="preserve">BPU ST VDR Optique · BPU MISSION 3 Optique ligne 44</t>
  </si>
  <si>
    <t xml:space="preserve">4.4.8</t>
  </si>
  <si>
    <t xml:space="preserve">4.4.8 · Pose boitier pour protection d'épissure, capacité jusqu'à 144 épissures</t>
  </si>
  <si>
    <t xml:space="preserve">BPU ST VDR Optique · BPU MISSION 3 Optique ligne 45</t>
  </si>
  <si>
    <t xml:space="preserve">4.4.9</t>
  </si>
  <si>
    <t xml:space="preserve">Réintervention sur BPE aérien</t>
  </si>
  <si>
    <t xml:space="preserve">4.4.9 · Réintervention sur BPE aérien</t>
  </si>
  <si>
    <t xml:space="preserve">BPU ST VDR Optique · BPU MISSION 3 Optique ligne 46</t>
  </si>
  <si>
    <t xml:space="preserve">4.4.10</t>
  </si>
  <si>
    <t xml:space="preserve">Dépose boitier pour protection d'épissure, capacité jusqu'à 144 épissures</t>
  </si>
  <si>
    <t xml:space="preserve">4.4.10 · Dépose boitier pour protection d'épissure, capacité jusqu'à 144 épissures</t>
  </si>
  <si>
    <t xml:space="preserve">BPU ST VDR Optique · BPU MISSION 3 Optique ligne 47</t>
  </si>
  <si>
    <t xml:space="preserve">4.5 - Dispositif de Raccordement optique</t>
  </si>
  <si>
    <t xml:space="preserve">4.5.1</t>
  </si>
  <si>
    <t xml:space="preserve">Pose de PBO poteau/façade y compris dispositif de fixation et/ou de lovage si nécessaire</t>
  </si>
  <si>
    <t xml:space="preserve">Ce prix rémunère à l'unité : - la pose en sécurité d'un PBO, d'un boitier terminal ou d'un bandeau - le raccordement des fibres aux points techniques - la fourniture et la mise en place des signalisations chantier (déviations éventuelles, alternats manuels K10,...)</t>
  </si>
  <si>
    <t xml:space="preserve">4.5.1 · Pose de PBO poteau/façade y compris dispositif de fixation et/ou de lovage si nécessaire</t>
  </si>
  <si>
    <t xml:space="preserve">BPU ST VDR Optique · BPU MISSION 3 Optique ligne 50</t>
  </si>
  <si>
    <t xml:space="preserve">4.5.2</t>
  </si>
  <si>
    <t xml:space="preserve">Pose de PBO en chambre</t>
  </si>
  <si>
    <t xml:space="preserve">4.5.2 · Pose de PBO en chambre</t>
  </si>
  <si>
    <t xml:space="preserve">BPU ST VDR Optique · BPU MISSION 3 Optique ligne 51</t>
  </si>
  <si>
    <t xml:space="preserve">4.5.6</t>
  </si>
  <si>
    <t xml:space="preserve">Pose de tiroir optique 19" 288 FO équipé des cassettes, des traversées et des pigtails fibre (connectique SC/APC), y compris de fixation et étiquetage.</t>
  </si>
  <si>
    <t xml:space="preserve">Hors Raccordement - Utilisation en plus de l'ARTICLE 4.8 - Raccordement fibre optique</t>
  </si>
  <si>
    <t xml:space="preserve">4.5.6 · Pose de tiroir optique 19" 288 FO équipé des cassettes, des traversées et des pigtails fibre…</t>
  </si>
  <si>
    <t xml:space="preserve">BPU ST VDR Optique · BPU MISSION 3 Optique ligne 52</t>
  </si>
  <si>
    <t xml:space="preserve">4.5.7</t>
  </si>
  <si>
    <t xml:space="preserve">Pose de tiroir optique 19" 144 FO équipé des cassettes, des traversées et des pigtails fibre (connectique SC/APC), y compris de fixation et étiquetage.</t>
  </si>
  <si>
    <t xml:space="preserve">4.5.7 · Pose de tiroir optique 19" 144 FO équipé des cassettes, des traversées et des pigtails fibre…</t>
  </si>
  <si>
    <t xml:space="preserve">BPU ST VDR Optique · BPU MISSION 3 Optique ligne 53</t>
  </si>
  <si>
    <t xml:space="preserve">4.5.8</t>
  </si>
  <si>
    <t xml:space="preserve">Pose de tiroir optique 19" 96 FO équipé des cassettes, des traversées et des pigtails fibre (connectique SC/APC), y compris de fixation et étiquetage.</t>
  </si>
  <si>
    <t xml:space="preserve">4.5.8 · Pose de tiroir optique 19" 96 FO équipé des cassettes, des traversées et des pigtails fibre…</t>
  </si>
  <si>
    <t xml:space="preserve">BPU ST VDR Optique · BPU MISSION 3 Optique ligne 54</t>
  </si>
  <si>
    <t xml:space="preserve">4.5.9</t>
  </si>
  <si>
    <t xml:space="preserve">Pose de tiroir optique 19" 72 FO équipé des cassettes, des traversées et des pigtails fibre (connectique SC/APC), y compris de fixation et étiquetage.</t>
  </si>
  <si>
    <t xml:space="preserve">4.5.9 · Pose de tiroir optique 19" 72 FO équipé des cassettes, des traversées et des pigtails fibre…</t>
  </si>
  <si>
    <t xml:space="preserve">BPU ST VDR Optique · BPU MISSION 3 Optique ligne 55</t>
  </si>
  <si>
    <t xml:space="preserve">4.5.10</t>
  </si>
  <si>
    <t xml:space="preserve">Pose de Tiroir optique 19" 48 FO équipé des cassettes, des traversées et des pigtails fibre (connectique SC/APC), y compris de fixation et étiquetage.</t>
  </si>
  <si>
    <t xml:space="preserve">4.5.10 · Pose de Tiroir optique 19" 48 FO équipé des cassettes, des traversées et des pigtails fibre…</t>
  </si>
  <si>
    <t xml:space="preserve">BPU ST VDR Optique · BPU MISSION 3 Optique ligne 56</t>
  </si>
  <si>
    <t xml:space="preserve">4.5.11</t>
  </si>
  <si>
    <t xml:space="preserve">Pose de tiroir optique 19" 48 FO pour le lovage</t>
  </si>
  <si>
    <t xml:space="preserve">4.5.11 · Pose de tiroir optique 19" 48 FO pour le lovage</t>
  </si>
  <si>
    <t xml:space="preserve">BPU ST VDR Optique · BPU MISSION 3 Optique ligne 57</t>
  </si>
  <si>
    <t xml:space="preserve">4.5.12</t>
  </si>
  <si>
    <t xml:space="preserve">Pose de tiroir optique 19" 36 FO équipé des cassettes, des traversées et des pigtails fibre (connectique ST/APC), y compris de fixation et étiquetage.</t>
  </si>
  <si>
    <t xml:space="preserve">4.5.12 · Pose de tiroir optique 19" 36 FO équipé des cassettes, des traversées et des pigtails fibre…</t>
  </si>
  <si>
    <t xml:space="preserve">BPU ST VDR Optique · BPU MISSION 3 Optique ligne 58</t>
  </si>
  <si>
    <t xml:space="preserve">4.5.13</t>
  </si>
  <si>
    <t xml:space="preserve">Pose de Tiroir optique 19" 24 FO équipé des cassettes, des traversées et des pigtails fibre (connectique SC/APC), y compris de fixation et étiquetage.</t>
  </si>
  <si>
    <t xml:space="preserve">4.5.13 · Pose de Tiroir optique 19" 24 FO équipé des cassettes, des traversées et des pigtails fibre…</t>
  </si>
  <si>
    <t xml:space="preserve">BPU ST VDR Optique · BPU MISSION 3 Optique ligne 59</t>
  </si>
  <si>
    <t xml:space="preserve">4.5.14</t>
  </si>
  <si>
    <t xml:space="preserve">Pose de tiroir optique 19" 12 FO équipé des cassettes, des traversées et des pigtails fibre (connectique ST/APC), y compris de fixation et étiquetage.</t>
  </si>
  <si>
    <t xml:space="preserve">4.5.14 · Pose de tiroir optique 19" 12 FO équipé des cassettes, des traversées et des pigtails fibre…</t>
  </si>
  <si>
    <t xml:space="preserve">BPU ST VDR Optique · BPU MISSION 3 Optique ligne 60</t>
  </si>
  <si>
    <t xml:space="preserve">4.5.15</t>
  </si>
  <si>
    <t xml:space="preserve">Réintervention sur PBO poteau/façade</t>
  </si>
  <si>
    <t xml:space="preserve">4.5.15 · Réintervention sur PBO poteau/façade</t>
  </si>
  <si>
    <t xml:space="preserve">BPU ST VDR Optique · BPU MISSION 3 Optique ligne 61</t>
  </si>
  <si>
    <t xml:space="preserve">4.5.16</t>
  </si>
  <si>
    <t xml:space="preserve">Dépose de PBO poteau/façade</t>
  </si>
  <si>
    <t xml:space="preserve">4.5.16 · Dépose de PBO poteau/façade</t>
  </si>
  <si>
    <t xml:space="preserve">BPU ST VDR Optique · BPU MISSION 3 Optique ligne 62</t>
  </si>
  <si>
    <t xml:space="preserve">4.5.17</t>
  </si>
  <si>
    <t xml:space="preserve">Réintervention sur PBO en chambre</t>
  </si>
  <si>
    <t xml:space="preserve">4.5.17 · Réintervention sur PBO en chambre</t>
  </si>
  <si>
    <t xml:space="preserve">BPU ST VDR Optique · BPU MISSION 3 Optique ligne 63</t>
  </si>
  <si>
    <t xml:space="preserve">4.5.18</t>
  </si>
  <si>
    <t xml:space="preserve">Dépose de PBO en chambre</t>
  </si>
  <si>
    <t xml:space="preserve">4.5.18 · Dépose de PBO en chambre</t>
  </si>
  <si>
    <t xml:space="preserve">BPU ST VDR Optique · BPU MISSION 3 Optique ligne 64</t>
  </si>
  <si>
    <t xml:space="preserve">4.6 - Colonnes montantes</t>
  </si>
  <si>
    <t xml:space="preserve">4.6.1</t>
  </si>
  <si>
    <t xml:space="preserve">installation du réseau de distribution vertical (immeuble de 4 à 12 locaux), y compris la colonne montante, adduction, percements, la pose des PBO, la pose du câble</t>
  </si>
  <si>
    <t xml:space="preserve">Ce prix rémunère à l'unité la pose d'un Point de Branchement Optique comprenant : - la pose du BPO en immeuble (en colonne montante ou en pied d'immeuble) - l'adduction de l'immeuble - les percements de colonne montante - le cheminement à l'intérieur de l immeuble</t>
  </si>
  <si>
    <t xml:space="preserve">Forfait</t>
  </si>
  <si>
    <t xml:space="preserve">4.6.1 · installation du réseau de distribution vertical (immeuble de 4 à 12 locaux), y compris la…</t>
  </si>
  <si>
    <t xml:space="preserve">BPU ST VDR Optique · BPU MISSION 3 Optique ligne 66</t>
  </si>
  <si>
    <t xml:space="preserve">4.6.2</t>
  </si>
  <si>
    <t xml:space="preserve">installation du réseau vertical (par tranche de 12 locaux à partir de 13 locaux) y compris la colonne montante, adduction, percements, la fourniture et pose des PBO, la fourniture et pose du câble</t>
  </si>
  <si>
    <t xml:space="preserve">Ce prix rémunère la pose d'un Point de Branchement Optique comprenant : - la pose du/des BPO en immeuble - les percements de colone montante - le cheminement à l'intérieur de l immeuble Cet item est utilisé en supplément de l'item 4,6,1</t>
  </si>
  <si>
    <t xml:space="preserve">4.6.2 · installation du réseau vertical (par tranche de 12 locaux à partir de 13 locaux) y compris la…</t>
  </si>
  <si>
    <t xml:space="preserve">BPU ST VDR Optique · BPU MISSION 3 Optique ligne 67</t>
  </si>
  <si>
    <t xml:space="preserve">4.6.3</t>
  </si>
  <si>
    <t xml:space="preserve">Réintervention sur PBO immeuble</t>
  </si>
  <si>
    <t xml:space="preserve">4.6.3 · Réintervention sur PBO immeuble</t>
  </si>
  <si>
    <t xml:space="preserve">BPU ST VDR Optique · BPU MISSION 3 Optique ligne 68</t>
  </si>
  <si>
    <t xml:space="preserve">4.6.4</t>
  </si>
  <si>
    <t xml:space="preserve">Dépose de PBO immeuble</t>
  </si>
  <si>
    <t xml:space="preserve">4.6.4 · Dépose de PBO immeuble</t>
  </si>
  <si>
    <t xml:space="preserve">BPU ST VDR Optique · BPU MISSION 3 Optique ligne 69</t>
  </si>
  <si>
    <t xml:space="preserve">4.7 - Mesures réflectométries</t>
  </si>
  <si>
    <t xml:space="preserve">4.7.1</t>
  </si>
  <si>
    <t xml:space="preserve">Mesures réflectométriques de fibre otpique dans les deux sens aux longueurs d’onde 1310 nm et 1550 nm</t>
  </si>
  <si>
    <t xml:space="preserve">u (à la fibre)</t>
  </si>
  <si>
    <t xml:space="preserve">à la fibre</t>
  </si>
  <si>
    <t xml:space="preserve">4.7.1 · Mesures réflectométriques de fibre otpique dans les deux sens aux longueurs d’onde 1310 nm et…</t>
  </si>
  <si>
    <t xml:space="preserve">BPU ST VDR Optique · BPU MISSION 3 Optique ligne 71</t>
  </si>
  <si>
    <t xml:space="preserve">4.7.2</t>
  </si>
  <si>
    <t xml:space="preserve">Mesures réflectométriques entre le PM et le PBO dans un sens aux longueurs d’onde 1550 nm sur une fibre connectorisée sur tiroir et test de continuité et de concordance fibre à fibre</t>
  </si>
  <si>
    <t xml:space="preserve">4.7.2 · Mesures réflectométriques entre le PM et le PBO dans un sens aux longueurs d’onde 1550 nm sur…</t>
  </si>
  <si>
    <t xml:space="preserve">BPU ST VDR Optique · BPU MISSION 3 Optique ligne 72</t>
  </si>
  <si>
    <t xml:space="preserve">4.8 - Raccordement fibre optique</t>
  </si>
  <si>
    <t xml:space="preserve">4.8.1</t>
  </si>
  <si>
    <t xml:space="preserve">Raccordement par fibre sur câble optique inférieur ou égal à 24FO</t>
  </si>
  <si>
    <t xml:space="preserve">BPU ST VDR Optique · BPU MISSION 3 Optique ligne 74</t>
  </si>
  <si>
    <t xml:space="preserve">4.8.2</t>
  </si>
  <si>
    <t xml:space="preserve">Raccordement par fibre sur câble optique de 25 à 72FO</t>
  </si>
  <si>
    <t xml:space="preserve">4.8.2 · Raccordement par fibre sur câble optique de 25 à 72FO</t>
  </si>
  <si>
    <t xml:space="preserve">BPU ST VDR Optique · BPU MISSION 3 Optique ligne 75</t>
  </si>
  <si>
    <t xml:space="preserve">4.8.3</t>
  </si>
  <si>
    <t xml:space="preserve">Raccordement par fibre sur câble optique de 73 à 144 FO</t>
  </si>
  <si>
    <t xml:space="preserve">4.8.3 · Raccordement par fibre sur câble optique de 73 à 144 FO</t>
  </si>
  <si>
    <t xml:space="preserve">BPU ST VDR Optique · BPU MISSION 3 Optique ligne 76</t>
  </si>
  <si>
    <t xml:space="preserve">4.8.4</t>
  </si>
  <si>
    <t xml:space="preserve">Raccordement par fibre sur câble optique de 145 à 288FO</t>
  </si>
  <si>
    <t xml:space="preserve">4.8.4 · Raccordement par fibre sur câble optique de 145 à 288FO</t>
  </si>
  <si>
    <t xml:space="preserve">BPU ST VDR Optique · BPU MISSION 3 Optique ligne 77</t>
  </si>
  <si>
    <t xml:space="preserve">4.9 - Pose et dépose de jarretière/cordon optique</t>
  </si>
  <si>
    <t xml:space="preserve">4.9.1</t>
  </si>
  <si>
    <t xml:space="preserve">Pose de jarretière/cordon optique</t>
  </si>
  <si>
    <t xml:space="preserve">4.9.1 · Pose de jarretière/cordon optique</t>
  </si>
  <si>
    <t xml:space="preserve">BPU ST VDR Optique · BPU MISSION 3 Optique ligne 79</t>
  </si>
  <si>
    <t xml:space="preserve">4.9.2</t>
  </si>
  <si>
    <t xml:space="preserve">Dépose de jarretière/cordon optique</t>
  </si>
  <si>
    <t xml:space="preserve">4.9.2 · Dépose de jarretière/cordon optique</t>
  </si>
  <si>
    <t xml:space="preserve">BPU ST VDR Optique · BPU MISSION 3 Optique ligne 80</t>
  </si>
  <si>
    <t xml:space="preserve">5 - Câble réseau</t>
  </si>
  <si>
    <t xml:space="preserve">5.1</t>
  </si>
  <si>
    <t xml:space="preserve">Pose d'un câble cuivre cat 6A-500Mhz extérieur avec protection anti-rongeur type ELBAC 219545-00 ou équivalent , Il devra être livré, posé, raccordé et recetté.</t>
  </si>
  <si>
    <t xml:space="preserve">5.1 · Pose d'un câble cuivre cat 6A-500Mhz extérieur avec protection anti-rongeur type ELBAC…</t>
  </si>
  <si>
    <t xml:space="preserve">BPU ST VDR Optique · BPU MISSION 3 Optique ligne 82</t>
  </si>
  <si>
    <t xml:space="preserve">5.2</t>
  </si>
  <si>
    <t xml:space="preserve">Pose d'un câble d'installation étanche extérieur/intérieur CAT6A F/UTP monobrin Cuivre 500 Mhz type BELDEN OSP6AE ou équivalent, Il devra être livré, posé, raccordé et recetté.</t>
  </si>
  <si>
    <t xml:space="preserve">5.2 · Pose d'un câble d'installation étanche extérieur/intérieur CAT6A F/UTP monobrin Cuivre 500 Mhz…</t>
  </si>
  <si>
    <t xml:space="preserve">BPU ST VDR Optique · BPU MISSION 3 Optique ligne 83</t>
  </si>
  <si>
    <t xml:space="preserve">5.3</t>
  </si>
  <si>
    <t xml:space="preserve">Pose d'un câble cuivre cat 6A-500Mhz extérieur aérien autoporté type ELBAC 259545-00 ou équivalent , Il devra être livré, posé, raccordé et recetté. Son prix au linéaire inclu aussi les accessoires d'attache et de fixations en aérien sur poteau.</t>
  </si>
  <si>
    <t xml:space="preserve">5.3 · Pose d'un câble cuivre cat 6A-500Mhz extérieur aérien autoporté type ELBAC 259545-00 ou…</t>
  </si>
  <si>
    <t xml:space="preserve">BPU ST VDR Optique · BPU MISSION 3 Optique ligne 84</t>
  </si>
  <si>
    <t xml:space="preserve">6 - Câble fibre optique hybride</t>
  </si>
  <si>
    <t xml:space="preserve">6.1</t>
  </si>
  <si>
    <t xml:space="preserve">Pose d'un câble de raccordement hybride ( communication + alimentation électrique) extérieur type ACOME B0062A ou équivalent. Il devra disposer sous la même enveloppe en polyéthylène d'un câble optique UNC composé de 4 fibres optiques OS2 et d'un câble d'energie H07RN-F composé de 3 conducteurs cuivre de diammetre 2,5mm.</t>
  </si>
  <si>
    <t xml:space="preserve">6.1 · Pose d'un câble de raccordement hybride ( communication + alimentation électrique) extérieur…</t>
  </si>
  <si>
    <t xml:space="preserve">BPU ST VDR Optique · BPU MISSION 3 Optique ligne 86</t>
  </si>
  <si>
    <t xml:space="preserve">6.2</t>
  </si>
  <si>
    <t xml:space="preserve">Pose d'un câble de raccordement extérieur à fibre optique hybride composé de :2 conducteurs cuivre AWG 12 et de 2 fibres type OS2 préconnectorisé type BELDEN HDSB0020212RC ou équivalent.</t>
  </si>
  <si>
    <t xml:space="preserve">6.2 · Pose d'un câble de raccordement extérieur à fibre optique hybride composé de :2 conducteurs…</t>
  </si>
  <si>
    <t xml:space="preserve">BPU ST VDR Optique · BPU MISSION 3 Optique ligne 87</t>
  </si>
  <si>
    <t xml:space="preserve">7 - Réalisation de raccordement terminal optique</t>
  </si>
  <si>
    <t xml:space="preserve">7.1.1</t>
  </si>
  <si>
    <t xml:space="preserve">Réalisation d'un raccordement terminal sur un PBO intérieur &lt;100ml – Prix pour ≥ 4 raccordements planifiés dans une même journée</t>
  </si>
  <si>
    <t xml:space="preserve">Ce prix rémunère par ligne FTTH la réalisation d'un raccordement terminal sur un PBO comprenant : - la pose d'une prise terminale (PTO) (fourniture et la pose du cable fibre optique zero halogène entre le PBO et la PTO) - la prise de RDV et la plannification de l'intervention - la réutilisation du cheminement existant - le raccordement au niveau du PBO intérieur - Vérification par test au crayon optique - Fourniture d'un compte rendu d'intervention</t>
  </si>
  <si>
    <t xml:space="preserve">7.1.1 · Réalisation d'un raccordement terminal sur un PBO intérieur &lt;100ml – Prix pour ≥ 4…</t>
  </si>
  <si>
    <t xml:space="preserve">BPU ST VDR Optique · BPU MISSION 3 Optique ligne 89</t>
  </si>
  <si>
    <t xml:space="preserve">7.1.2</t>
  </si>
  <si>
    <t xml:space="preserve">Réalisation d'un raccordement terminal sur un PBO intérieur &lt;100ml – Prix pour &lt;4 raccordements planifiés dans une même journée</t>
  </si>
  <si>
    <t xml:space="preserve">7.1.2 · Réalisation d'un raccordement terminal sur un PBO intérieur &lt;100ml – Prix pour &lt;4…</t>
  </si>
  <si>
    <t xml:space="preserve">BPU ST VDR Optique · BPU MISSION 3 Optique ligne 90</t>
  </si>
  <si>
    <t xml:space="preserve">7.2.1</t>
  </si>
  <si>
    <t xml:space="preserve">Réalisation d'un raccordement terminal sur un PBO extérieur en chambre &lt;100ml – Prix pour ≥ 4 raccordements planifiés dans une même journée</t>
  </si>
  <si>
    <t xml:space="preserve">7.2.1 · Réalisation d'un raccordement terminal sur un PBO extérieur en chambre &lt;100ml – Prix pour ≥ 4…</t>
  </si>
  <si>
    <t xml:space="preserve">BPU ST VDR Optique · BPU MISSION 3 Optique ligne 91</t>
  </si>
  <si>
    <t xml:space="preserve">7.2.2</t>
  </si>
  <si>
    <t xml:space="preserve">Réalisation d'un raccordement terminal sur un PBO extérieur en chambre &lt;100ml – Prix pour &lt;4 raccordements planifiés dans une même journée</t>
  </si>
  <si>
    <t xml:space="preserve">7.2.2 · Réalisation d'un raccordement terminal sur un PBO extérieur en chambre &lt;100ml – Prix pour &lt;4…</t>
  </si>
  <si>
    <t xml:space="preserve">BPU ST VDR Optique · BPU MISSION 3 Optique ligne 92</t>
  </si>
  <si>
    <t xml:space="preserve">7.3.1</t>
  </si>
  <si>
    <t xml:space="preserve">Réalisation d'un raccordement terminal sur un PBO extérieur aérien &lt;100ml – Prix pour ≥ 4 raccordements planifiés dans une même journée</t>
  </si>
  <si>
    <t xml:space="preserve">7.3.1 · Réalisation d'un raccordement terminal sur un PBO extérieur aérien &lt;100ml – Prix pour ≥ 4…</t>
  </si>
  <si>
    <t xml:space="preserve">BPU ST VDR Optique · BPU MISSION 3 Optique ligne 93</t>
  </si>
  <si>
    <t xml:space="preserve">7.3.2</t>
  </si>
  <si>
    <t xml:space="preserve">Réalisation d'un raccordement terminal sur un PBO extérieur aérien &lt;100ml – Prix pour &lt;4 raccordements planifiés dans une même journée</t>
  </si>
  <si>
    <t xml:space="preserve">7.3.2 · Réalisation d'un raccordement terminal sur un PBO extérieur aérien &lt;100ml – Prix pour &lt;4…</t>
  </si>
  <si>
    <t xml:space="preserve">BPU ST VDR Optique · BPU MISSION 3 Optique ligne 94</t>
  </si>
  <si>
    <t xml:space="preserve">7.4.1</t>
  </si>
  <si>
    <t xml:space="preserve">Réalisation d'un raccordement terminal sur un PBO extérieur en façade &lt;100ml – Prix pour ≥ 4 raccordements planifiés dans une même journée</t>
  </si>
  <si>
    <t xml:space="preserve">7.4.1 · Réalisation d'un raccordement terminal sur un PBO extérieur en façade &lt;100ml – Prix pour ≥ 4…</t>
  </si>
  <si>
    <t xml:space="preserve">BPU ST VDR Optique · BPU MISSION 3 Optique ligne 95</t>
  </si>
  <si>
    <t xml:space="preserve">7.4.2</t>
  </si>
  <si>
    <t xml:space="preserve">Réalisation d'un raccordement terminal sur un PBO extérieur en façade &lt;100ml – Prix pour &lt;4 raccordements planifiés dans une même journée</t>
  </si>
  <si>
    <t xml:space="preserve">7.4.2 · Réalisation d'un raccordement terminal sur un PBO extérieur en façade &lt;100ml – Prix pour &lt;4…</t>
  </si>
  <si>
    <t xml:space="preserve">BPU ST VDR Optique · BPU MISSION 3 Optique ligne 96</t>
  </si>
  <si>
    <t xml:space="preserve">8 - Dispositif électrique</t>
  </si>
  <si>
    <t xml:space="preserve">8.1.1</t>
  </si>
  <si>
    <t xml:space="preserve">Pose et raccordement d'un câble électrique U-1000 R2V 3G1.5 mm²</t>
  </si>
  <si>
    <t xml:space="preserve">8.1.1 · Pose et raccordement d'un câble électrique U-1000 R2V 3G1.5 mm²</t>
  </si>
  <si>
    <t xml:space="preserve">BPU ST VDR Optique · BPU MISSION 3 Optique ligne 98</t>
  </si>
  <si>
    <t xml:space="preserve">8.1.2</t>
  </si>
  <si>
    <t xml:space="preserve">Pose et raccordement d'un câble électrique U-1000 R2V 3G2.5 mm²</t>
  </si>
  <si>
    <t xml:space="preserve">8.1.2 · Pose et raccordement d'un câble électrique U-1000 R2V 3G2.5 mm²</t>
  </si>
  <si>
    <t xml:space="preserve">BPU ST VDR Optique · BPU MISSION 3 Optique ligne 99</t>
  </si>
  <si>
    <t xml:space="preserve">8.1.3</t>
  </si>
  <si>
    <t xml:space="preserve">Pose et raccordement d'un câble électrique U-1000 R2V 3G6 mm²</t>
  </si>
  <si>
    <t xml:space="preserve">8.1.3 · Pose et raccordement d'un câble électrique U-1000 R2V 3G6 mm²</t>
  </si>
  <si>
    <t xml:space="preserve">BPU ST VDR Optique · BPU MISSION 3 Optique ligne 100</t>
  </si>
  <si>
    <t xml:space="preserve">8.1.4</t>
  </si>
  <si>
    <t xml:space="preserve">Pose et raccordement d'un disjoncteur différentiel bipolaire 230V 30 mA</t>
  </si>
  <si>
    <t xml:space="preserve">8.1.4 · Pose et raccordement d'un disjoncteur différentiel bipolaire 230V 30 mA</t>
  </si>
  <si>
    <t xml:space="preserve">BPU ST VDR Optique · BPU MISSION 3 Optique ligne 101</t>
  </si>
  <si>
    <t xml:space="preserve">8.2</t>
  </si>
  <si>
    <t xml:space="preserve">Pose et raccordement d'un para-foudre modulaire 230V</t>
  </si>
  <si>
    <t xml:space="preserve">8.2 · Pose et raccordement d'un para-foudre modulaire 230V</t>
  </si>
  <si>
    <t xml:space="preserve">BPU ST VDR Optique · BPU MISSION 3 Optique ligne 102</t>
  </si>
  <si>
    <t xml:space="preserve">8.3</t>
  </si>
  <si>
    <t xml:space="preserve">Pose et raccordement d'un para-surstenseur modulaire 275 V</t>
  </si>
  <si>
    <t xml:space="preserve">8.3 · Pose et raccordement d'un para-surstenseur modulaire 275 V</t>
  </si>
  <si>
    <t xml:space="preserve">BPU ST VDR Optique · BPU MISSION 3 Optique ligne 103</t>
  </si>
  <si>
    <t xml:space="preserve">8.4</t>
  </si>
  <si>
    <t xml:space="preserve">Pose et raccordement d'une borne type Coffret Haut</t>
  </si>
  <si>
    <t xml:space="preserve">- Totalement équipé (dispositifs de protection éléctriques, platines, raccordement, extrémités thermo-retractables comprise et mise à la terre). - De dimension : 495 x 230 x 168 Ce prix comprend aussi la fouille, le massif; la dalle, les tiges de scellements et fourreaux nécessaires au passage des câble</t>
  </si>
  <si>
    <t xml:space="preserve">8.4 · Pose et raccordement d'une borne type Coffret Haut</t>
  </si>
  <si>
    <t xml:space="preserve">BPU ST VDR Optique · BPU MISSION 3 Optique ligne 104</t>
  </si>
  <si>
    <t xml:space="preserve">Coefficient</t>
  </si>
  <si>
    <t xml:space="preserve">MC-07</t>
  </si>
  <si>
    <t xml:space="preserve">MC-07 · Technicien supplémentaire</t>
  </si>
  <si>
    <t xml:space="preserve">coef. appliqué au forfait</t>
  </si>
  <si>
    <t xml:space="preserve">Majoration par technicien supplémentaire sur une intervention (à l'acte)</t>
  </si>
  <si>
    <t xml:space="preserve">Maintenance BPU ST · BPU ligne 28</t>
  </si>
  <si>
    <t xml:space="preserve">MC-08</t>
  </si>
  <si>
    <t xml:space="preserve">Majoration en cas d'intervention en HNO (min 20% de l'inter. en HNO) (à l'acte)</t>
  </si>
  <si>
    <t xml:space="preserve">Maintenance BPU ST · BPU ligne 29</t>
  </si>
  <si>
    <t xml:space="preserve">Le montant de la ligne du devis est multiplié par le coefficient (ex. 1,4078 = +40,78 %).</t>
  </si>
</sst>
</file>

<file path=xl/styles.xml><?xml version="1.0" encoding="utf-8"?>
<styleSheet xmlns="http://schemas.openxmlformats.org/spreadsheetml/2006/main">
  <numFmts count="6">
    <numFmt numFmtId="164" formatCode="General"/>
    <numFmt numFmtId="165" formatCode="0%"/>
    <numFmt numFmtId="166" formatCode="dd/mm/yyyy"/>
    <numFmt numFmtId="167" formatCode="General"/>
    <numFmt numFmtId="168" formatCode="_-* #,##0.00&quot; €&quot;_-;\-* #,##0.00&quot; €&quot;_-;_-* \-??&quot; €&quot;_-;_-@_-"/>
    <numFmt numFmtId="169" formatCode="0.0000"/>
  </numFmts>
  <fonts count="15">
    <font>
      <sz val="11"/>
      <color theme="1"/>
      <name val="Calibri"/>
      <family val="2"/>
      <charset val="1"/>
    </font>
    <font>
      <sz val="10"/>
      <name val="Arial"/>
      <family val="0"/>
    </font>
    <font>
      <sz val="10"/>
      <name val="Arial"/>
      <family val="0"/>
    </font>
    <font>
      <sz val="10"/>
      <name val="Arial"/>
      <family val="0"/>
    </font>
    <font>
      <b val="true"/>
      <sz val="13"/>
      <color rgb="FF0000FF"/>
      <name val="Arial"/>
      <family val="0"/>
      <charset val="1"/>
    </font>
    <font>
      <b val="true"/>
      <sz val="22"/>
      <color rgb="FF0093BB"/>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sz val="10"/>
      <name val="Arial"/>
      <family val="0"/>
      <charset val="1"/>
    </font>
    <font>
      <b val="true"/>
      <sz val="10"/>
      <color rgb="FFC00000"/>
      <name val="Arial"/>
      <family val="0"/>
      <charset val="1"/>
    </font>
    <font>
      <i val="true"/>
      <sz val="10"/>
      <name val="Arial"/>
      <family val="0"/>
      <charset val="1"/>
    </font>
    <font>
      <b val="true"/>
      <sz val="11"/>
      <color rgb="FFFFFFFF"/>
      <name val="Arial"/>
      <family val="0"/>
      <charset val="1"/>
    </font>
    <font>
      <sz val="10"/>
      <name val="Arial"/>
      <family val="2"/>
    </font>
    <font>
      <i val="true"/>
      <sz val="10"/>
      <color rgb="FF595959"/>
      <name val="Arial"/>
      <family val="0"/>
      <charset val="1"/>
    </font>
  </fonts>
  <fills count="6">
    <fill>
      <patternFill patternType="none"/>
    </fill>
    <fill>
      <patternFill patternType="gray125"/>
    </fill>
    <fill>
      <patternFill patternType="solid">
        <fgColor rgb="FFFFF2CC"/>
        <bgColor rgb="FFEAF6FA"/>
      </patternFill>
    </fill>
    <fill>
      <patternFill patternType="solid">
        <fgColor rgb="FFFF6600"/>
        <bgColor rgb="FFFF9900"/>
      </patternFill>
    </fill>
    <fill>
      <patternFill patternType="solid">
        <fgColor rgb="FF0093BB"/>
        <bgColor rgb="FF008080"/>
      </patternFill>
    </fill>
    <fill>
      <patternFill patternType="solid">
        <fgColor rgb="FFEAF6FA"/>
        <bgColor rgb="FFFFFFFF"/>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right"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righ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2" borderId="1" xfId="0" applyFont="true" applyBorder="true" applyAlignment="true" applyProtection="false">
      <alignment horizontal="left" vertical="center" textRotation="0" wrapText="true" indent="0" shrinkToFit="false"/>
      <protection locked="true" hidden="false"/>
    </xf>
    <xf numFmtId="166" fontId="7" fillId="2"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8" fontId="7" fillId="2" borderId="1" xfId="0" applyFont="true" applyBorder="true" applyAlignment="true" applyProtection="false">
      <alignment horizontal="right" vertical="center" textRotation="0" wrapText="false" indent="0" shrinkToFit="false"/>
      <protection locked="true" hidden="false"/>
    </xf>
    <xf numFmtId="168" fontId="8" fillId="0" borderId="1" xfId="0" applyFont="true" applyBorder="true" applyAlignment="true" applyProtection="false">
      <alignment horizontal="right" vertical="center"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4" borderId="0" xfId="0" applyFont="true" applyBorder="false" applyAlignment="true" applyProtection="false">
      <alignment horizontal="right" vertical="center" textRotation="0" wrapText="false" indent="0" shrinkToFit="false"/>
      <protection locked="true" hidden="false"/>
    </xf>
    <xf numFmtId="168" fontId="12"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general"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F8CBAD"/>
        </patternFill>
      </fill>
    </dxf>
    <dxf>
      <font>
        <name val="Arial"/>
        <charset val="1"/>
        <family val="0"/>
        <b val="1"/>
        <color rgb="FFC00000"/>
      </font>
    </dxf>
    <dxf>
      <fill>
        <patternFill patternType="solid">
          <fgColor rgb="FF0093BB"/>
          <bgColor rgb="FF000000"/>
        </patternFill>
      </fill>
    </dxf>
    <dxf>
      <fill>
        <patternFill patternType="solid">
          <fgColor rgb="FFEAF6FA"/>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93BB"/>
      <rgbColor rgb="FFC0C0C0"/>
      <rgbColor rgb="FF808080"/>
      <rgbColor rgb="FF9999FF"/>
      <rgbColor rgb="FF993366"/>
      <rgbColor rgb="FFFFF2CC"/>
      <rgbColor rgb="FFEAF6F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72"/>
    <col collapsed="false" customWidth="true" hidden="false" outlineLevel="0" max="3" min="3" style="0" width="22"/>
    <col collapsed="false" customWidth="true" hidden="false" outlineLevel="0" max="4" min="4" style="0" width="9"/>
    <col collapsed="false" customWidth="true" hidden="false" outlineLevel="0" max="6" min="5" style="0" width="13"/>
    <col collapsed="false" customWidth="true" hidden="false" outlineLevel="0" max="7" min="7" style="0" width="29"/>
    <col collapsed="false" customWidth="true" hidden="false" outlineLevel="0" max="8" min="8" style="0" width="15"/>
    <col collapsed="false" customWidth="true" hidden="false" outlineLevel="0" max="9" min="9" style="0" width="6"/>
    <col collapsed="false" customWidth="true" hidden="true" outlineLevel="0" max="10" min="10" style="0" width="6"/>
    <col collapsed="false" customWidth="true" hidden="true" outlineLevel="0" max="11" min="11" style="0" width="3"/>
    <col collapsed="false" customWidth="true" hidden="false" outlineLevel="0" max="12" min="12" style="0" width="34"/>
    <col collapsed="false" customWidth="true" hidden="false" outlineLevel="0" max="13" min="13" style="0" width="4"/>
    <col collapsed="false" customWidth="true" hidden="false" outlineLevel="0" max="14" min="14" style="0" width="26"/>
  </cols>
  <sheetData>
    <row r="1" customFormat="false" ht="30" hidden="false" customHeight="true" outlineLevel="0" collapsed="false">
      <c r="A1" s="1" t="s">
        <v>0</v>
      </c>
      <c r="B1" s="1"/>
      <c r="F1" s="2" t="s">
        <v>1</v>
      </c>
      <c r="G1" s="2"/>
      <c r="H1" s="2"/>
      <c r="L1" s="3" t="s">
        <v>2</v>
      </c>
      <c r="M1" s="3"/>
      <c r="N1" s="3"/>
    </row>
    <row r="2" customFormat="false" ht="15" hidden="false" customHeight="true" outlineLevel="0" collapsed="false">
      <c r="A2" s="4" t="s">
        <v>3</v>
      </c>
      <c r="B2" s="4"/>
      <c r="F2" s="5" t="s">
        <v>4</v>
      </c>
      <c r="G2" s="5"/>
      <c r="H2" s="6" t="s">
        <v>5</v>
      </c>
      <c r="L2" s="7" t="s">
        <v>6</v>
      </c>
      <c r="N2" s="8" t="n">
        <v>0.2</v>
      </c>
    </row>
    <row r="3" customFormat="false" ht="15" hidden="false" customHeight="true" outlineLevel="0" collapsed="false">
      <c r="A3" s="4" t="s">
        <v>7</v>
      </c>
      <c r="B3" s="4"/>
      <c r="F3" s="5" t="s">
        <v>8</v>
      </c>
      <c r="G3" s="5"/>
      <c r="H3" s="9" t="n">
        <v>46316</v>
      </c>
      <c r="L3" s="7" t="s">
        <v>9</v>
      </c>
      <c r="N3" s="10" t="s">
        <v>10</v>
      </c>
    </row>
    <row r="4" customFormat="false" ht="15" hidden="false" customHeight="true" outlineLevel="0" collapsed="false">
      <c r="A4" s="4" t="s">
        <v>11</v>
      </c>
      <c r="B4" s="4"/>
      <c r="F4" s="5" t="s">
        <v>12</v>
      </c>
      <c r="G4" s="5"/>
      <c r="H4" s="6" t="n">
        <v>30</v>
      </c>
    </row>
    <row r="5" customFormat="false" ht="15" hidden="false" customHeight="true" outlineLevel="0" collapsed="false">
      <c r="A5" s="4" t="s">
        <v>13</v>
      </c>
      <c r="B5" s="4"/>
      <c r="F5" s="5" t="s">
        <v>14</v>
      </c>
      <c r="G5" s="5"/>
      <c r="H5" s="11" t="n">
        <f aca="false">IF(OR(H3="",H4=""),"",H3+H4)</f>
        <v>46346</v>
      </c>
    </row>
    <row r="6" customFormat="false" ht="15" hidden="false" customHeight="true" outlineLevel="0" collapsed="false">
      <c r="A6" s="4" t="s">
        <v>15</v>
      </c>
      <c r="B6" s="4"/>
      <c r="F6" s="5" t="s">
        <v>16</v>
      </c>
      <c r="G6" s="5"/>
      <c r="H6" s="6"/>
      <c r="L6" s="3" t="s">
        <v>17</v>
      </c>
      <c r="M6" s="3"/>
      <c r="N6" s="3"/>
    </row>
    <row r="7" customFormat="false" ht="15" hidden="false" customHeight="false" outlineLevel="0" collapsed="false">
      <c r="L7" s="12" t="s">
        <v>18</v>
      </c>
    </row>
    <row r="8" customFormat="false" ht="15" hidden="false" customHeight="true" outlineLevel="0" collapsed="false">
      <c r="A8" s="13" t="s">
        <v>19</v>
      </c>
      <c r="B8" s="13"/>
      <c r="C8" s="13" t="s">
        <v>20</v>
      </c>
      <c r="D8" s="13"/>
      <c r="E8" s="13"/>
      <c r="F8" s="13"/>
      <c r="G8" s="13"/>
      <c r="H8" s="13"/>
      <c r="L8" s="12" t="s">
        <v>21</v>
      </c>
    </row>
    <row r="9" customFormat="false" ht="15" hidden="false" customHeight="true" outlineLevel="0" collapsed="false">
      <c r="A9" s="10" t="s">
        <v>22</v>
      </c>
      <c r="B9" s="10"/>
      <c r="C9" s="14" t="s">
        <v>23</v>
      </c>
      <c r="D9" s="10" t="s">
        <v>24</v>
      </c>
      <c r="E9" s="10"/>
      <c r="F9" s="10"/>
      <c r="G9" s="10"/>
      <c r="H9" s="10"/>
      <c r="L9" s="12" t="s">
        <v>25</v>
      </c>
    </row>
    <row r="10" customFormat="false" ht="15" hidden="false" customHeight="true" outlineLevel="0" collapsed="false">
      <c r="A10" s="10" t="s">
        <v>26</v>
      </c>
      <c r="B10" s="10"/>
      <c r="C10" s="14" t="s">
        <v>27</v>
      </c>
      <c r="D10" s="10" t="s">
        <v>28</v>
      </c>
      <c r="E10" s="10"/>
      <c r="F10" s="10"/>
      <c r="G10" s="10"/>
      <c r="H10" s="10"/>
      <c r="L10" s="12" t="s">
        <v>29</v>
      </c>
    </row>
    <row r="11" customFormat="false" ht="15" hidden="false" customHeight="true" outlineLevel="0" collapsed="false">
      <c r="A11" s="10" t="s">
        <v>3</v>
      </c>
      <c r="B11" s="10"/>
      <c r="C11" s="14" t="s">
        <v>30</v>
      </c>
      <c r="D11" s="10"/>
      <c r="E11" s="10"/>
      <c r="F11" s="10"/>
      <c r="G11" s="10"/>
      <c r="H11" s="10"/>
      <c r="L11" s="12" t="s">
        <v>31</v>
      </c>
    </row>
    <row r="12" customFormat="false" ht="15" hidden="false" customHeight="true" outlineLevel="0" collapsed="false">
      <c r="A12" s="10" t="s">
        <v>7</v>
      </c>
      <c r="B12" s="10"/>
      <c r="C12" s="14" t="s">
        <v>32</v>
      </c>
      <c r="D12" s="15" t="s">
        <v>33</v>
      </c>
      <c r="E12" s="15"/>
      <c r="F12" s="15"/>
      <c r="G12" s="15"/>
      <c r="H12" s="15"/>
      <c r="L12" s="12" t="s">
        <v>34</v>
      </c>
    </row>
    <row r="13" customFormat="false" ht="15" hidden="false" customHeight="false" outlineLevel="0" collapsed="false">
      <c r="L13" s="12" t="s">
        <v>35</v>
      </c>
    </row>
    <row r="14" customFormat="false" ht="30" hidden="false" customHeight="true" outlineLevel="0" collapsed="false">
      <c r="A14" s="16" t="s">
        <v>36</v>
      </c>
      <c r="B14" s="16" t="s">
        <v>37</v>
      </c>
      <c r="C14" s="16" t="s">
        <v>38</v>
      </c>
      <c r="D14" s="16" t="s">
        <v>39</v>
      </c>
      <c r="E14" s="16" t="s">
        <v>40</v>
      </c>
      <c r="F14" s="16" t="s">
        <v>41</v>
      </c>
      <c r="G14" s="16" t="s">
        <v>42</v>
      </c>
      <c r="H14" s="16" t="s">
        <v>43</v>
      </c>
      <c r="J14" s="17" t="s">
        <v>44</v>
      </c>
      <c r="K14" s="17" t="s">
        <v>45</v>
      </c>
      <c r="L14" s="12" t="s">
        <v>46</v>
      </c>
    </row>
    <row r="15" customFormat="false" ht="15" hidden="false" customHeight="false" outlineLevel="0" collapsed="false">
      <c r="A15" s="18" t="n">
        <f aca="false">IF($B15="","",COUNTA($B$15:$B15))</f>
        <v>1</v>
      </c>
      <c r="B15" s="19" t="s">
        <v>47</v>
      </c>
      <c r="C15" s="18" t="str">
        <f aca="false">IF(OR($J15="",$J15=0),"",INDEX(BPU!$G$2:$G$117,$J15)&amp;"")</f>
        <v>Forfait par opération</v>
      </c>
      <c r="D15" s="6" t="n">
        <v>2</v>
      </c>
      <c r="E15" s="20" t="n">
        <f aca="false">IF($B15="","",IF($J15=0,"Hors BPU",IF(ISNUMBER($K15),ROUND($K15,2),$K15)))</f>
        <v>210</v>
      </c>
      <c r="F15" s="21"/>
      <c r="G15" s="10"/>
      <c r="H15" s="22" t="n">
        <f aca="false">IF($B15="","",IF(AND($F15="",NOT(ISNUMBER($E15))),"PU à saisir",ROUND(N($D15)*IF($F15&lt;&gt;"",$F15,$E15)*IF($G15="",1,IFERROR(INDEX(Majorations!$C$2:$C$3,MATCH($G15,ListeMajorations,0)),1)),2)))</f>
        <v>420</v>
      </c>
      <c r="J15" s="17" t="n">
        <f aca="false">IF($B15="","",IFERROR(MATCH($B15,ListePrestations,0),0))</f>
        <v>1</v>
      </c>
      <c r="K15" s="23" t="n">
        <f aca="false">IF(OR($J15="",$J15=0),"",INDEX(BPU!$H$2:$H$117,$J15))</f>
        <v>210</v>
      </c>
    </row>
    <row r="16" customFormat="false" ht="15" hidden="false" customHeight="false" outlineLevel="0" collapsed="false">
      <c r="A16" s="18" t="n">
        <f aca="false">IF($B16="","",COUNTA($B$15:$B16))</f>
        <v>2</v>
      </c>
      <c r="B16" s="19" t="s">
        <v>48</v>
      </c>
      <c r="C16" s="18" t="str">
        <f aca="false">IF(OR($J16="",$J16=0),"",INDEX(BPU!$G$2:$G$117,$J16)&amp;"")</f>
        <v>Forfait par intervention</v>
      </c>
      <c r="D16" s="6" t="n">
        <v>1</v>
      </c>
      <c r="E16" s="20" t="n">
        <f aca="false">IF($B16="","",IF($J16=0,"Hors BPU",IF(ISNUMBER($K16),ROUND($K16,2),$K16)))</f>
        <v>160.34</v>
      </c>
      <c r="F16" s="21"/>
      <c r="G16" s="10" t="s">
        <v>49</v>
      </c>
      <c r="H16" s="22" t="n">
        <f aca="false">IF($B16="","",IF(AND($F16="",NOT(ISNUMBER($E16))),"PU à saisir",ROUND(N($D16)*IF($F16&lt;&gt;"",$F16,$E16)*IF($G16="",1,IFERROR(INDEX(Majorations!$C$2:$C$3,MATCH($G16,ListeMajorations,0)),1)),2)))</f>
        <v>225.73</v>
      </c>
      <c r="J16" s="17" t="n">
        <f aca="false">IF($B16="","",IFERROR(MATCH($B16,ListePrestations,0),0))</f>
        <v>16</v>
      </c>
      <c r="K16" s="23" t="n">
        <f aca="false">IF(OR($J16="",$J16=0),"",INDEX(BPU!$H$2:$H$117,$J16))</f>
        <v>160.341790896159</v>
      </c>
    </row>
    <row r="17" customFormat="false" ht="15" hidden="false" customHeight="false" outlineLevel="0" collapsed="false">
      <c r="A17" s="18" t="n">
        <f aca="false">IF($B17="","",COUNTA($B$15:$B17))</f>
        <v>3</v>
      </c>
      <c r="B17" s="19" t="s">
        <v>50</v>
      </c>
      <c r="C17" s="18" t="str">
        <f aca="false">IF(OR($J17="",$J17=0),"",INDEX(BPU!$G$2:$G$117,$J17)&amp;"")</f>
        <v>Forfait par heure</v>
      </c>
      <c r="D17" s="6" t="n">
        <v>3</v>
      </c>
      <c r="E17" s="20" t="n">
        <f aca="false">IF($B17="","",IF($J17=0,"Hors BPU",IF(ISNUMBER($K17),ROUND($K17,2),$K17)))</f>
        <v>35.93</v>
      </c>
      <c r="F17" s="21"/>
      <c r="G17" s="10"/>
      <c r="H17" s="22" t="n">
        <f aca="false">IF($B17="","",IF(AND($F17="",NOT(ISNUMBER($E17))),"PU à saisir",ROUND(N($D17)*IF($F17&lt;&gt;"",$F17,$E17)*IF($G17="",1,IFERROR(INDEX(Majorations!$C$2:$C$3,MATCH($G17,ListeMajorations,0)),1)),2)))</f>
        <v>107.79</v>
      </c>
      <c r="J17" s="17" t="n">
        <f aca="false">IF($B17="","",IFERROR(MATCH($B17,ListePrestations,0),0))</f>
        <v>24</v>
      </c>
      <c r="K17" s="23" t="n">
        <f aca="false">IF(OR($J17="",$J17=0),"",INDEX(BPU!$H$2:$H$117,$J17))</f>
        <v>35.92625</v>
      </c>
    </row>
    <row r="18" customFormat="false" ht="15" hidden="false" customHeight="false" outlineLevel="0" collapsed="false">
      <c r="A18" s="18" t="n">
        <f aca="false">IF($B18="","",COUNTA($B$15:$B18))</f>
        <v>4</v>
      </c>
      <c r="B18" s="19" t="s">
        <v>51</v>
      </c>
      <c r="C18" s="18" t="str">
        <f aca="false">IF(OR($J18="",$J18=0),"",INDEX(BPU!$G$2:$G$117,$J18)&amp;"")</f>
        <v>ml</v>
      </c>
      <c r="D18" s="6" t="n">
        <v>250</v>
      </c>
      <c r="E18" s="20" t="n">
        <f aca="false">IF($B18="","",IF($J18=0,"Hors BPU",IF(ISNUMBER($K18),ROUND($K18,2),$K18)))</f>
        <v>1</v>
      </c>
      <c r="F18" s="21"/>
      <c r="G18" s="10"/>
      <c r="H18" s="22" t="n">
        <f aca="false">IF($B18="","",IF(AND($F18="",NOT(ISNUMBER($E18))),"PU à saisir",ROUND(N($D18)*IF($F18&lt;&gt;"",$F18,$E18)*IF($G18="",1,IFERROR(INDEX(Majorations!$C$2:$C$3,MATCH($G18,ListeMajorations,0)),1)),2)))</f>
        <v>250</v>
      </c>
      <c r="J18" s="17" t="n">
        <f aca="false">IF($B18="","",IFERROR(MATCH($B18,ListePrestations,0),0))</f>
        <v>40</v>
      </c>
      <c r="K18" s="23" t="n">
        <f aca="false">IF(OR($J18="",$J18=0),"",INDEX(BPU!$H$2:$H$117,$J18))</f>
        <v>1</v>
      </c>
    </row>
    <row r="19" customFormat="false" ht="15" hidden="false" customHeight="false" outlineLevel="0" collapsed="false">
      <c r="A19" s="18" t="n">
        <f aca="false">IF($B19="","",COUNTA($B$15:$B19))</f>
        <v>5</v>
      </c>
      <c r="B19" s="19" t="s">
        <v>52</v>
      </c>
      <c r="C19" s="18" t="str">
        <f aca="false">IF(OR($J19="",$J19=0),"",INDEX(BPU!$G$2:$G$117,$J19)&amp;"")</f>
        <v>u</v>
      </c>
      <c r="D19" s="6" t="n">
        <v>1</v>
      </c>
      <c r="E19" s="20" t="n">
        <f aca="false">IF($B19="","",IF($J19=0,"Hors BPU",IF(ISNUMBER($K19),ROUND($K19,2),$K19)))</f>
        <v>130</v>
      </c>
      <c r="F19" s="21"/>
      <c r="G19" s="10"/>
      <c r="H19" s="22" t="n">
        <f aca="false">IF($B19="","",IF(AND($F19="",NOT(ISNUMBER($E19))),"PU à saisir",ROUND(N($D19)*IF($F19&lt;&gt;"",$F19,$E19)*IF($G19="",1,IFERROR(INDEX(Majorations!$C$2:$C$3,MATCH($G19,ListeMajorations,0)),1)),2)))</f>
        <v>130</v>
      </c>
      <c r="J19" s="17" t="n">
        <f aca="false">IF($B19="","",IFERROR(MATCH($B19,ListePrestations,0),0))</f>
        <v>51</v>
      </c>
      <c r="K19" s="23" t="n">
        <f aca="false">IF(OR($J19="",$J19=0),"",INDEX(BPU!$H$2:$H$117,$J19))</f>
        <v>130</v>
      </c>
    </row>
    <row r="20" customFormat="false" ht="15" hidden="false" customHeight="false" outlineLevel="0" collapsed="false">
      <c r="A20" s="18" t="n">
        <f aca="false">IF($B20="","",COUNTA($B$15:$B20))</f>
        <v>6</v>
      </c>
      <c r="B20" s="19" t="s">
        <v>53</v>
      </c>
      <c r="C20" s="18" t="str">
        <f aca="false">IF(OR($J20="",$J20=0),"",INDEX(BPU!$G$2:$G$117,$J20)&amp;"")</f>
        <v>u (à la fibre)</v>
      </c>
      <c r="D20" s="6" t="n">
        <v>24</v>
      </c>
      <c r="E20" s="20" t="n">
        <f aca="false">IF($B20="","",IF($J20=0,"Hors BPU",IF(ISNUMBER($K20),ROUND($K20,2),$K20)))</f>
        <v>4.5</v>
      </c>
      <c r="F20" s="21"/>
      <c r="G20" s="10"/>
      <c r="H20" s="22" t="n">
        <f aca="false">IF($B20="","",IF(AND($F20="",NOT(ISNUMBER($E20))),"PU à saisir",ROUND(N($D20)*IF($F20&lt;&gt;"",$F20,$E20)*IF($G20="",1,IFERROR(INDEX(Majorations!$C$2:$C$3,MATCH($G20,ListeMajorations,0)),1)),2)))</f>
        <v>108</v>
      </c>
      <c r="J20" s="17" t="n">
        <f aca="false">IF($B20="","",IFERROR(MATCH($B20,ListePrestations,0),0))</f>
        <v>91</v>
      </c>
      <c r="K20" s="23" t="n">
        <f aca="false">IF(OR($J20="",$J20=0),"",INDEX(BPU!$H$2:$H$117,$J20))</f>
        <v>4.5</v>
      </c>
    </row>
    <row r="21" customFormat="false" ht="15" hidden="false" customHeight="false" outlineLevel="0" collapsed="false">
      <c r="A21" s="18" t="str">
        <f aca="false">IF($B21="","",COUNTA($B$15:$B21))</f>
        <v/>
      </c>
      <c r="B21" s="19"/>
      <c r="C21" s="18" t="str">
        <f aca="false">IF(OR($J21="",$J21=0),"",INDEX(BPU!$G$2:$G$117,$J21)&amp;"")</f>
        <v/>
      </c>
      <c r="D21" s="6"/>
      <c r="E21" s="20" t="str">
        <f aca="false">IF($B21="","",IF($J21=0,"Hors BPU",IF(ISNUMBER($K21),ROUND($K21,2),$K21)))</f>
        <v/>
      </c>
      <c r="F21" s="21"/>
      <c r="G21" s="10"/>
      <c r="H21" s="22" t="str">
        <f aca="false">IF($B21="","",IF(AND($F21="",NOT(ISNUMBER($E21))),"PU à saisir",ROUND(N($D21)*IF($F21&lt;&gt;"",$F21,$E21)*IF($G21="",1,IFERROR(INDEX(Majorations!$C$2:$C$3,MATCH($G21,ListeMajorations,0)),1)),2)))</f>
        <v/>
      </c>
      <c r="J21" s="0" t="str">
        <f aca="false">IF($B21="","",IFERROR(MATCH($B21,ListePrestations,0),0))</f>
        <v/>
      </c>
      <c r="K21" s="0" t="str">
        <f aca="false">IF(OR($J21="",$J21=0),"",INDEX(BPU!$H$2:$H$117,$J21))</f>
        <v/>
      </c>
    </row>
    <row r="22" customFormat="false" ht="15" hidden="false" customHeight="false" outlineLevel="0" collapsed="false">
      <c r="A22" s="18" t="str">
        <f aca="false">IF($B22="","",COUNTA($B$15:$B22))</f>
        <v/>
      </c>
      <c r="B22" s="19"/>
      <c r="C22" s="18" t="str">
        <f aca="false">IF(OR($J22="",$J22=0),"",INDEX(BPU!$G$2:$G$117,$J22)&amp;"")</f>
        <v/>
      </c>
      <c r="D22" s="6"/>
      <c r="E22" s="20" t="str">
        <f aca="false">IF($B22="","",IF($J22=0,"Hors BPU",IF(ISNUMBER($K22),ROUND($K22,2),$K22)))</f>
        <v/>
      </c>
      <c r="F22" s="21"/>
      <c r="G22" s="10"/>
      <c r="H22" s="22" t="str">
        <f aca="false">IF($B22="","",IF(AND($F22="",NOT(ISNUMBER($E22))),"PU à saisir",ROUND(N($D22)*IF($F22&lt;&gt;"",$F22,$E22)*IF($G22="",1,IFERROR(INDEX(Majorations!$C$2:$C$3,MATCH($G22,ListeMajorations,0)),1)),2)))</f>
        <v/>
      </c>
      <c r="J22" s="0" t="str">
        <f aca="false">IF($B22="","",IFERROR(MATCH($B22,ListePrestations,0),0))</f>
        <v/>
      </c>
      <c r="K22" s="0" t="str">
        <f aca="false">IF(OR($J22="",$J22=0),"",INDEX(BPU!$H$2:$H$117,$J22))</f>
        <v/>
      </c>
    </row>
    <row r="23" customFormat="false" ht="15" hidden="false" customHeight="false" outlineLevel="0" collapsed="false">
      <c r="A23" s="18" t="str">
        <f aca="false">IF($B23="","",COUNTA($B$15:$B23))</f>
        <v/>
      </c>
      <c r="B23" s="19"/>
      <c r="C23" s="18" t="str">
        <f aca="false">IF(OR($J23="",$J23=0),"",INDEX(BPU!$G$2:$G$117,$J23)&amp;"")</f>
        <v/>
      </c>
      <c r="D23" s="6"/>
      <c r="E23" s="20" t="str">
        <f aca="false">IF($B23="","",IF($J23=0,"Hors BPU",IF(ISNUMBER($K23),ROUND($K23,2),$K23)))</f>
        <v/>
      </c>
      <c r="F23" s="21"/>
      <c r="G23" s="10"/>
      <c r="H23" s="22" t="str">
        <f aca="false">IF($B23="","",IF(AND($F23="",NOT(ISNUMBER($E23))),"PU à saisir",ROUND(N($D23)*IF($F23&lt;&gt;"",$F23,$E23)*IF($G23="",1,IFERROR(INDEX(Majorations!$C$2:$C$3,MATCH($G23,ListeMajorations,0)),1)),2)))</f>
        <v/>
      </c>
      <c r="J23" s="0" t="str">
        <f aca="false">IF($B23="","",IFERROR(MATCH($B23,ListePrestations,0),0))</f>
        <v/>
      </c>
      <c r="K23" s="0" t="str">
        <f aca="false">IF(OR($J23="",$J23=0),"",INDEX(BPU!$H$2:$H$117,$J23))</f>
        <v/>
      </c>
    </row>
    <row r="24" customFormat="false" ht="15" hidden="false" customHeight="false" outlineLevel="0" collapsed="false">
      <c r="A24" s="18" t="str">
        <f aca="false">IF($B24="","",COUNTA($B$15:$B24))</f>
        <v/>
      </c>
      <c r="B24" s="19"/>
      <c r="C24" s="18" t="str">
        <f aca="false">IF(OR($J24="",$J24=0),"",INDEX(BPU!$G$2:$G$117,$J24)&amp;"")</f>
        <v/>
      </c>
      <c r="D24" s="6"/>
      <c r="E24" s="20" t="str">
        <f aca="false">IF($B24="","",IF($J24=0,"Hors BPU",IF(ISNUMBER($K24),ROUND($K24,2),$K24)))</f>
        <v/>
      </c>
      <c r="F24" s="21"/>
      <c r="G24" s="10"/>
      <c r="H24" s="22" t="str">
        <f aca="false">IF($B24="","",IF(AND($F24="",NOT(ISNUMBER($E24))),"PU à saisir",ROUND(N($D24)*IF($F24&lt;&gt;"",$F24,$E24)*IF($G24="",1,IFERROR(INDEX(Majorations!$C$2:$C$3,MATCH($G24,ListeMajorations,0)),1)),2)))</f>
        <v/>
      </c>
      <c r="J24" s="0" t="str">
        <f aca="false">IF($B24="","",IFERROR(MATCH($B24,ListePrestations,0),0))</f>
        <v/>
      </c>
      <c r="K24" s="0" t="str">
        <f aca="false">IF(OR($J24="",$J24=0),"",INDEX(BPU!$H$2:$H$117,$J24))</f>
        <v/>
      </c>
    </row>
    <row r="25" customFormat="false" ht="15" hidden="false" customHeight="false" outlineLevel="0" collapsed="false">
      <c r="A25" s="18" t="str">
        <f aca="false">IF($B25="","",COUNTA($B$15:$B25))</f>
        <v/>
      </c>
      <c r="B25" s="19"/>
      <c r="C25" s="18" t="str">
        <f aca="false">IF(OR($J25="",$J25=0),"",INDEX(BPU!$G$2:$G$117,$J25)&amp;"")</f>
        <v/>
      </c>
      <c r="D25" s="6"/>
      <c r="E25" s="20" t="str">
        <f aca="false">IF($B25="","",IF($J25=0,"Hors BPU",IF(ISNUMBER($K25),ROUND($K25,2),$K25)))</f>
        <v/>
      </c>
      <c r="F25" s="21"/>
      <c r="G25" s="10"/>
      <c r="H25" s="22" t="str">
        <f aca="false">IF($B25="","",IF(AND($F25="",NOT(ISNUMBER($E25))),"PU à saisir",ROUND(N($D25)*IF($F25&lt;&gt;"",$F25,$E25)*IF($G25="",1,IFERROR(INDEX(Majorations!$C$2:$C$3,MATCH($G25,ListeMajorations,0)),1)),2)))</f>
        <v/>
      </c>
      <c r="J25" s="0" t="str">
        <f aca="false">IF($B25="","",IFERROR(MATCH($B25,ListePrestations,0),0))</f>
        <v/>
      </c>
      <c r="K25" s="0" t="str">
        <f aca="false">IF(OR($J25="",$J25=0),"",INDEX(BPU!$H$2:$H$117,$J25))</f>
        <v/>
      </c>
    </row>
    <row r="26" customFormat="false" ht="15" hidden="false" customHeight="false" outlineLevel="0" collapsed="false">
      <c r="A26" s="18" t="str">
        <f aca="false">IF($B26="","",COUNTA($B$15:$B26))</f>
        <v/>
      </c>
      <c r="B26" s="19"/>
      <c r="C26" s="18" t="str">
        <f aca="false">IF(OR($J26="",$J26=0),"",INDEX(BPU!$G$2:$G$117,$J26)&amp;"")</f>
        <v/>
      </c>
      <c r="D26" s="6"/>
      <c r="E26" s="20" t="str">
        <f aca="false">IF($B26="","",IF($J26=0,"Hors BPU",IF(ISNUMBER($K26),ROUND($K26,2),$K26)))</f>
        <v/>
      </c>
      <c r="F26" s="21"/>
      <c r="G26" s="10"/>
      <c r="H26" s="22" t="str">
        <f aca="false">IF($B26="","",IF(AND($F26="",NOT(ISNUMBER($E26))),"PU à saisir",ROUND(N($D26)*IF($F26&lt;&gt;"",$F26,$E26)*IF($G26="",1,IFERROR(INDEX(Majorations!$C$2:$C$3,MATCH($G26,ListeMajorations,0)),1)),2)))</f>
        <v/>
      </c>
      <c r="J26" s="0" t="str">
        <f aca="false">IF($B26="","",IFERROR(MATCH($B26,ListePrestations,0),0))</f>
        <v/>
      </c>
      <c r="K26" s="0" t="str">
        <f aca="false">IF(OR($J26="",$J26=0),"",INDEX(BPU!$H$2:$H$117,$J26))</f>
        <v/>
      </c>
    </row>
    <row r="27" customFormat="false" ht="15" hidden="false" customHeight="false" outlineLevel="0" collapsed="false">
      <c r="A27" s="18" t="str">
        <f aca="false">IF($B27="","",COUNTA($B$15:$B27))</f>
        <v/>
      </c>
      <c r="B27" s="19"/>
      <c r="C27" s="18" t="str">
        <f aca="false">IF(OR($J27="",$J27=0),"",INDEX(BPU!$G$2:$G$117,$J27)&amp;"")</f>
        <v/>
      </c>
      <c r="D27" s="6"/>
      <c r="E27" s="20" t="str">
        <f aca="false">IF($B27="","",IF($J27=0,"Hors BPU",IF(ISNUMBER($K27),ROUND($K27,2),$K27)))</f>
        <v/>
      </c>
      <c r="F27" s="21"/>
      <c r="G27" s="10"/>
      <c r="H27" s="22" t="str">
        <f aca="false">IF($B27="","",IF(AND($F27="",NOT(ISNUMBER($E27))),"PU à saisir",ROUND(N($D27)*IF($F27&lt;&gt;"",$F27,$E27)*IF($G27="",1,IFERROR(INDEX(Majorations!$C$2:$C$3,MATCH($G27,ListeMajorations,0)),1)),2)))</f>
        <v/>
      </c>
      <c r="J27" s="0" t="str">
        <f aca="false">IF($B27="","",IFERROR(MATCH($B27,ListePrestations,0),0))</f>
        <v/>
      </c>
      <c r="K27" s="0" t="str">
        <f aca="false">IF(OR($J27="",$J27=0),"",INDEX(BPU!$H$2:$H$117,$J27))</f>
        <v/>
      </c>
    </row>
    <row r="28" customFormat="false" ht="15" hidden="false" customHeight="false" outlineLevel="0" collapsed="false">
      <c r="A28" s="18" t="str">
        <f aca="false">IF($B28="","",COUNTA($B$15:$B28))</f>
        <v/>
      </c>
      <c r="B28" s="19"/>
      <c r="C28" s="18" t="str">
        <f aca="false">IF(OR($J28="",$J28=0),"",INDEX(BPU!$G$2:$G$117,$J28)&amp;"")</f>
        <v/>
      </c>
      <c r="D28" s="6"/>
      <c r="E28" s="20" t="str">
        <f aca="false">IF($B28="","",IF($J28=0,"Hors BPU",IF(ISNUMBER($K28),ROUND($K28,2),$K28)))</f>
        <v/>
      </c>
      <c r="F28" s="21"/>
      <c r="G28" s="10"/>
      <c r="H28" s="22" t="str">
        <f aca="false">IF($B28="","",IF(AND($F28="",NOT(ISNUMBER($E28))),"PU à saisir",ROUND(N($D28)*IF($F28&lt;&gt;"",$F28,$E28)*IF($G28="",1,IFERROR(INDEX(Majorations!$C$2:$C$3,MATCH($G28,ListeMajorations,0)),1)),2)))</f>
        <v/>
      </c>
      <c r="J28" s="0" t="str">
        <f aca="false">IF($B28="","",IFERROR(MATCH($B28,ListePrestations,0),0))</f>
        <v/>
      </c>
      <c r="K28" s="0" t="str">
        <f aca="false">IF(OR($J28="",$J28=0),"",INDEX(BPU!$H$2:$H$117,$J28))</f>
        <v/>
      </c>
    </row>
    <row r="29" customFormat="false" ht="15" hidden="false" customHeight="false" outlineLevel="0" collapsed="false">
      <c r="A29" s="18" t="str">
        <f aca="false">IF($B29="","",COUNTA($B$15:$B29))</f>
        <v/>
      </c>
      <c r="B29" s="19"/>
      <c r="C29" s="18" t="str">
        <f aca="false">IF(OR($J29="",$J29=0),"",INDEX(BPU!$G$2:$G$117,$J29)&amp;"")</f>
        <v/>
      </c>
      <c r="D29" s="6"/>
      <c r="E29" s="20" t="str">
        <f aca="false">IF($B29="","",IF($J29=0,"Hors BPU",IF(ISNUMBER($K29),ROUND($K29,2),$K29)))</f>
        <v/>
      </c>
      <c r="F29" s="21"/>
      <c r="G29" s="10"/>
      <c r="H29" s="22" t="str">
        <f aca="false">IF($B29="","",IF(AND($F29="",NOT(ISNUMBER($E29))),"PU à saisir",ROUND(N($D29)*IF($F29&lt;&gt;"",$F29,$E29)*IF($G29="",1,IFERROR(INDEX(Majorations!$C$2:$C$3,MATCH($G29,ListeMajorations,0)),1)),2)))</f>
        <v/>
      </c>
      <c r="J29" s="0" t="str">
        <f aca="false">IF($B29="","",IFERROR(MATCH($B29,ListePrestations,0),0))</f>
        <v/>
      </c>
      <c r="K29" s="0" t="str">
        <f aca="false">IF(OR($J29="",$J29=0),"",INDEX(BPU!$H$2:$H$117,$J29))</f>
        <v/>
      </c>
    </row>
    <row r="30" customFormat="false" ht="15" hidden="false" customHeight="false" outlineLevel="0" collapsed="false">
      <c r="A30" s="18" t="str">
        <f aca="false">IF($B30="","",COUNTA($B$15:$B30))</f>
        <v/>
      </c>
      <c r="B30" s="19"/>
      <c r="C30" s="18" t="str">
        <f aca="false">IF(OR($J30="",$J30=0),"",INDEX(BPU!$G$2:$G$117,$J30)&amp;"")</f>
        <v/>
      </c>
      <c r="D30" s="6"/>
      <c r="E30" s="20" t="str">
        <f aca="false">IF($B30="","",IF($J30=0,"Hors BPU",IF(ISNUMBER($K30),ROUND($K30,2),$K30)))</f>
        <v/>
      </c>
      <c r="F30" s="21"/>
      <c r="G30" s="10"/>
      <c r="H30" s="22" t="str">
        <f aca="false">IF($B30="","",IF(AND($F30="",NOT(ISNUMBER($E30))),"PU à saisir",ROUND(N($D30)*IF($F30&lt;&gt;"",$F30,$E30)*IF($G30="",1,IFERROR(INDEX(Majorations!$C$2:$C$3,MATCH($G30,ListeMajorations,0)),1)),2)))</f>
        <v/>
      </c>
      <c r="J30" s="0" t="str">
        <f aca="false">IF($B30="","",IFERROR(MATCH($B30,ListePrestations,0),0))</f>
        <v/>
      </c>
      <c r="K30" s="0" t="str">
        <f aca="false">IF(OR($J30="",$J30=0),"",INDEX(BPU!$H$2:$H$117,$J30))</f>
        <v/>
      </c>
    </row>
    <row r="31" customFormat="false" ht="15" hidden="false" customHeight="false" outlineLevel="0" collapsed="false">
      <c r="A31" s="18" t="str">
        <f aca="false">IF($B31="","",COUNTA($B$15:$B31))</f>
        <v/>
      </c>
      <c r="B31" s="19"/>
      <c r="C31" s="18" t="str">
        <f aca="false">IF(OR($J31="",$J31=0),"",INDEX(BPU!$G$2:$G$117,$J31)&amp;"")</f>
        <v/>
      </c>
      <c r="D31" s="6"/>
      <c r="E31" s="20" t="str">
        <f aca="false">IF($B31="","",IF($J31=0,"Hors BPU",IF(ISNUMBER($K31),ROUND($K31,2),$K31)))</f>
        <v/>
      </c>
      <c r="F31" s="21"/>
      <c r="G31" s="10"/>
      <c r="H31" s="22" t="str">
        <f aca="false">IF($B31="","",IF(AND($F31="",NOT(ISNUMBER($E31))),"PU à saisir",ROUND(N($D31)*IF($F31&lt;&gt;"",$F31,$E31)*IF($G31="",1,IFERROR(INDEX(Majorations!$C$2:$C$3,MATCH($G31,ListeMajorations,0)),1)),2)))</f>
        <v/>
      </c>
      <c r="J31" s="0" t="str">
        <f aca="false">IF($B31="","",IFERROR(MATCH($B31,ListePrestations,0),0))</f>
        <v/>
      </c>
      <c r="K31" s="0" t="str">
        <f aca="false">IF(OR($J31="",$J31=0),"",INDEX(BPU!$H$2:$H$117,$J31))</f>
        <v/>
      </c>
    </row>
    <row r="32" customFormat="false" ht="15" hidden="false" customHeight="false" outlineLevel="0" collapsed="false">
      <c r="A32" s="18" t="str">
        <f aca="false">IF($B32="","",COUNTA($B$15:$B32))</f>
        <v/>
      </c>
      <c r="B32" s="19"/>
      <c r="C32" s="18" t="str">
        <f aca="false">IF(OR($J32="",$J32=0),"",INDEX(BPU!$G$2:$G$117,$J32)&amp;"")</f>
        <v/>
      </c>
      <c r="D32" s="6"/>
      <c r="E32" s="20" t="str">
        <f aca="false">IF($B32="","",IF($J32=0,"Hors BPU",IF(ISNUMBER($K32),ROUND($K32,2),$K32)))</f>
        <v/>
      </c>
      <c r="F32" s="21"/>
      <c r="G32" s="10"/>
      <c r="H32" s="22" t="str">
        <f aca="false">IF($B32="","",IF(AND($F32="",NOT(ISNUMBER($E32))),"PU à saisir",ROUND(N($D32)*IF($F32&lt;&gt;"",$F32,$E32)*IF($G32="",1,IFERROR(INDEX(Majorations!$C$2:$C$3,MATCH($G32,ListeMajorations,0)),1)),2)))</f>
        <v/>
      </c>
      <c r="J32" s="0" t="str">
        <f aca="false">IF($B32="","",IFERROR(MATCH($B32,ListePrestations,0),0))</f>
        <v/>
      </c>
      <c r="K32" s="0" t="str">
        <f aca="false">IF(OR($J32="",$J32=0),"",INDEX(BPU!$H$2:$H$117,$J32))</f>
        <v/>
      </c>
    </row>
    <row r="33" customFormat="false" ht="15" hidden="false" customHeight="false" outlineLevel="0" collapsed="false">
      <c r="A33" s="18" t="str">
        <f aca="false">IF($B33="","",COUNTA($B$15:$B33))</f>
        <v/>
      </c>
      <c r="B33" s="19"/>
      <c r="C33" s="18" t="str">
        <f aca="false">IF(OR($J33="",$J33=0),"",INDEX(BPU!$G$2:$G$117,$J33)&amp;"")</f>
        <v/>
      </c>
      <c r="D33" s="6"/>
      <c r="E33" s="20" t="str">
        <f aca="false">IF($B33="","",IF($J33=0,"Hors BPU",IF(ISNUMBER($K33),ROUND($K33,2),$K33)))</f>
        <v/>
      </c>
      <c r="F33" s="21"/>
      <c r="G33" s="10"/>
      <c r="H33" s="22" t="str">
        <f aca="false">IF($B33="","",IF(AND($F33="",NOT(ISNUMBER($E33))),"PU à saisir",ROUND(N($D33)*IF($F33&lt;&gt;"",$F33,$E33)*IF($G33="",1,IFERROR(INDEX(Majorations!$C$2:$C$3,MATCH($G33,ListeMajorations,0)),1)),2)))</f>
        <v/>
      </c>
      <c r="J33" s="0" t="str">
        <f aca="false">IF($B33="","",IFERROR(MATCH($B33,ListePrestations,0),0))</f>
        <v/>
      </c>
      <c r="K33" s="0" t="str">
        <f aca="false">IF(OR($J33="",$J33=0),"",INDEX(BPU!$H$2:$H$117,$J33))</f>
        <v/>
      </c>
    </row>
    <row r="34" customFormat="false" ht="15" hidden="false" customHeight="false" outlineLevel="0" collapsed="false">
      <c r="A34" s="18" t="str">
        <f aca="false">IF($B34="","",COUNTA($B$15:$B34))</f>
        <v/>
      </c>
      <c r="B34" s="19"/>
      <c r="C34" s="18" t="str">
        <f aca="false">IF(OR($J34="",$J34=0),"",INDEX(BPU!$G$2:$G$117,$J34)&amp;"")</f>
        <v/>
      </c>
      <c r="D34" s="6"/>
      <c r="E34" s="20" t="str">
        <f aca="false">IF($B34="","",IF($J34=0,"Hors BPU",IF(ISNUMBER($K34),ROUND($K34,2),$K34)))</f>
        <v/>
      </c>
      <c r="F34" s="21"/>
      <c r="G34" s="10"/>
      <c r="H34" s="22" t="str">
        <f aca="false">IF($B34="","",IF(AND($F34="",NOT(ISNUMBER($E34))),"PU à saisir",ROUND(N($D34)*IF($F34&lt;&gt;"",$F34,$E34)*IF($G34="",1,IFERROR(INDEX(Majorations!$C$2:$C$3,MATCH($G34,ListeMajorations,0)),1)),2)))</f>
        <v/>
      </c>
      <c r="J34" s="0" t="str">
        <f aca="false">IF($B34="","",IFERROR(MATCH($B34,ListePrestations,0),0))</f>
        <v/>
      </c>
      <c r="K34" s="0" t="str">
        <f aca="false">IF(OR($J34="",$J34=0),"",INDEX(BPU!$H$2:$H$117,$J34))</f>
        <v/>
      </c>
    </row>
    <row r="35" customFormat="false" ht="15" hidden="false" customHeight="false" outlineLevel="0" collapsed="false">
      <c r="A35" s="18" t="str">
        <f aca="false">IF($B35="","",COUNTA($B$15:$B35))</f>
        <v/>
      </c>
      <c r="B35" s="19"/>
      <c r="C35" s="18" t="str">
        <f aca="false">IF(OR($J35="",$J35=0),"",INDEX(BPU!$G$2:$G$117,$J35)&amp;"")</f>
        <v/>
      </c>
      <c r="D35" s="6"/>
      <c r="E35" s="20" t="str">
        <f aca="false">IF($B35="","",IF($J35=0,"Hors BPU",IF(ISNUMBER($K35),ROUND($K35,2),$K35)))</f>
        <v/>
      </c>
      <c r="F35" s="21"/>
      <c r="G35" s="10"/>
      <c r="H35" s="22" t="str">
        <f aca="false">IF($B35="","",IF(AND($F35="",NOT(ISNUMBER($E35))),"PU à saisir",ROUND(N($D35)*IF($F35&lt;&gt;"",$F35,$E35)*IF($G35="",1,IFERROR(INDEX(Majorations!$C$2:$C$3,MATCH($G35,ListeMajorations,0)),1)),2)))</f>
        <v/>
      </c>
      <c r="J35" s="0" t="str">
        <f aca="false">IF($B35="","",IFERROR(MATCH($B35,ListePrestations,0),0))</f>
        <v/>
      </c>
      <c r="K35" s="0" t="str">
        <f aca="false">IF(OR($J35="",$J35=0),"",INDEX(BPU!$H$2:$H$117,$J35))</f>
        <v/>
      </c>
    </row>
    <row r="36" customFormat="false" ht="15" hidden="false" customHeight="false" outlineLevel="0" collapsed="false">
      <c r="A36" s="18" t="str">
        <f aca="false">IF($B36="","",COUNTA($B$15:$B36))</f>
        <v/>
      </c>
      <c r="B36" s="19"/>
      <c r="C36" s="18" t="str">
        <f aca="false">IF(OR($J36="",$J36=0),"",INDEX(BPU!$G$2:$G$117,$J36)&amp;"")</f>
        <v/>
      </c>
      <c r="D36" s="6"/>
      <c r="E36" s="20" t="str">
        <f aca="false">IF($B36="","",IF($J36=0,"Hors BPU",IF(ISNUMBER($K36),ROUND($K36,2),$K36)))</f>
        <v/>
      </c>
      <c r="F36" s="21"/>
      <c r="G36" s="10"/>
      <c r="H36" s="22" t="str">
        <f aca="false">IF($B36="","",IF(AND($F36="",NOT(ISNUMBER($E36))),"PU à saisir",ROUND(N($D36)*IF($F36&lt;&gt;"",$F36,$E36)*IF($G36="",1,IFERROR(INDEX(Majorations!$C$2:$C$3,MATCH($G36,ListeMajorations,0)),1)),2)))</f>
        <v/>
      </c>
      <c r="J36" s="0" t="str">
        <f aca="false">IF($B36="","",IFERROR(MATCH($B36,ListePrestations,0),0))</f>
        <v/>
      </c>
      <c r="K36" s="0" t="str">
        <f aca="false">IF(OR($J36="",$J36=0),"",INDEX(BPU!$H$2:$H$117,$J36))</f>
        <v/>
      </c>
    </row>
    <row r="37" customFormat="false" ht="15" hidden="false" customHeight="false" outlineLevel="0" collapsed="false">
      <c r="A37" s="18" t="str">
        <f aca="false">IF($B37="","",COUNTA($B$15:$B37))</f>
        <v/>
      </c>
      <c r="B37" s="19"/>
      <c r="C37" s="18" t="str">
        <f aca="false">IF(OR($J37="",$J37=0),"",INDEX(BPU!$G$2:$G$117,$J37)&amp;"")</f>
        <v/>
      </c>
      <c r="D37" s="6"/>
      <c r="E37" s="20" t="str">
        <f aca="false">IF($B37="","",IF($J37=0,"Hors BPU",IF(ISNUMBER($K37),ROUND($K37,2),$K37)))</f>
        <v/>
      </c>
      <c r="F37" s="21"/>
      <c r="G37" s="10"/>
      <c r="H37" s="22" t="str">
        <f aca="false">IF($B37="","",IF(AND($F37="",NOT(ISNUMBER($E37))),"PU à saisir",ROUND(N($D37)*IF($F37&lt;&gt;"",$F37,$E37)*IF($G37="",1,IFERROR(INDEX(Majorations!$C$2:$C$3,MATCH($G37,ListeMajorations,0)),1)),2)))</f>
        <v/>
      </c>
      <c r="J37" s="0" t="str">
        <f aca="false">IF($B37="","",IFERROR(MATCH($B37,ListePrestations,0),0))</f>
        <v/>
      </c>
      <c r="K37" s="0" t="str">
        <f aca="false">IF(OR($J37="",$J37=0),"",INDEX(BPU!$H$2:$H$117,$J37))</f>
        <v/>
      </c>
    </row>
    <row r="38" customFormat="false" ht="15" hidden="false" customHeight="false" outlineLevel="0" collapsed="false">
      <c r="A38" s="18" t="str">
        <f aca="false">IF($B38="","",COUNTA($B$15:$B38))</f>
        <v/>
      </c>
      <c r="B38" s="19"/>
      <c r="C38" s="18" t="str">
        <f aca="false">IF(OR($J38="",$J38=0),"",INDEX(BPU!$G$2:$G$117,$J38)&amp;"")</f>
        <v/>
      </c>
      <c r="D38" s="6"/>
      <c r="E38" s="20" t="str">
        <f aca="false">IF($B38="","",IF($J38=0,"Hors BPU",IF(ISNUMBER($K38),ROUND($K38,2),$K38)))</f>
        <v/>
      </c>
      <c r="F38" s="21"/>
      <c r="G38" s="10"/>
      <c r="H38" s="22" t="str">
        <f aca="false">IF($B38="","",IF(AND($F38="",NOT(ISNUMBER($E38))),"PU à saisir",ROUND(N($D38)*IF($F38&lt;&gt;"",$F38,$E38)*IF($G38="",1,IFERROR(INDEX(Majorations!$C$2:$C$3,MATCH($G38,ListeMajorations,0)),1)),2)))</f>
        <v/>
      </c>
      <c r="J38" s="0" t="str">
        <f aca="false">IF($B38="","",IFERROR(MATCH($B38,ListePrestations,0),0))</f>
        <v/>
      </c>
      <c r="K38" s="0" t="str">
        <f aca="false">IF(OR($J38="",$J38=0),"",INDEX(BPU!$H$2:$H$117,$J38))</f>
        <v/>
      </c>
    </row>
    <row r="39" customFormat="false" ht="15" hidden="false" customHeight="false" outlineLevel="0" collapsed="false">
      <c r="A39" s="18" t="str">
        <f aca="false">IF($B39="","",COUNTA($B$15:$B39))</f>
        <v/>
      </c>
      <c r="B39" s="19"/>
      <c r="C39" s="18" t="str">
        <f aca="false">IF(OR($J39="",$J39=0),"",INDEX(BPU!$G$2:$G$117,$J39)&amp;"")</f>
        <v/>
      </c>
      <c r="D39" s="6"/>
      <c r="E39" s="20" t="str">
        <f aca="false">IF($B39="","",IF($J39=0,"Hors BPU",IF(ISNUMBER($K39),ROUND($K39,2),$K39)))</f>
        <v/>
      </c>
      <c r="F39" s="21"/>
      <c r="G39" s="10"/>
      <c r="H39" s="22" t="str">
        <f aca="false">IF($B39="","",IF(AND($F39="",NOT(ISNUMBER($E39))),"PU à saisir",ROUND(N($D39)*IF($F39&lt;&gt;"",$F39,$E39)*IF($G39="",1,IFERROR(INDEX(Majorations!$C$2:$C$3,MATCH($G39,ListeMajorations,0)),1)),2)))</f>
        <v/>
      </c>
      <c r="J39" s="0" t="str">
        <f aca="false">IF($B39="","",IFERROR(MATCH($B39,ListePrestations,0),0))</f>
        <v/>
      </c>
      <c r="K39" s="0" t="str">
        <f aca="false">IF(OR($J39="",$J39=0),"",INDEX(BPU!$H$2:$H$117,$J39))</f>
        <v/>
      </c>
    </row>
    <row r="40" customFormat="false" ht="15" hidden="false" customHeight="false" outlineLevel="0" collapsed="false">
      <c r="A40" s="18" t="str">
        <f aca="false">IF($B40="","",COUNTA($B$15:$B40))</f>
        <v/>
      </c>
      <c r="B40" s="19"/>
      <c r="C40" s="18" t="str">
        <f aca="false">IF(OR($J40="",$J40=0),"",INDEX(BPU!$G$2:$G$117,$J40)&amp;"")</f>
        <v/>
      </c>
      <c r="D40" s="6"/>
      <c r="E40" s="20" t="str">
        <f aca="false">IF($B40="","",IF($J40=0,"Hors BPU",IF(ISNUMBER($K40),ROUND($K40,2),$K40)))</f>
        <v/>
      </c>
      <c r="F40" s="21"/>
      <c r="G40" s="10"/>
      <c r="H40" s="22" t="str">
        <f aca="false">IF($B40="","",IF(AND($F40="",NOT(ISNUMBER($E40))),"PU à saisir",ROUND(N($D40)*IF($F40&lt;&gt;"",$F40,$E40)*IF($G40="",1,IFERROR(INDEX(Majorations!$C$2:$C$3,MATCH($G40,ListeMajorations,0)),1)),2)))</f>
        <v/>
      </c>
      <c r="J40" s="0" t="str">
        <f aca="false">IF($B40="","",IFERROR(MATCH($B40,ListePrestations,0),0))</f>
        <v/>
      </c>
      <c r="K40" s="0" t="str">
        <f aca="false">IF(OR($J40="",$J40=0),"",INDEX(BPU!$H$2:$H$117,$J40))</f>
        <v/>
      </c>
    </row>
    <row r="41" customFormat="false" ht="15" hidden="false" customHeight="false" outlineLevel="0" collapsed="false">
      <c r="A41" s="18" t="str">
        <f aca="false">IF($B41="","",COUNTA($B$15:$B41))</f>
        <v/>
      </c>
      <c r="B41" s="19"/>
      <c r="C41" s="18" t="str">
        <f aca="false">IF(OR($J41="",$J41=0),"",INDEX(BPU!$G$2:$G$117,$J41)&amp;"")</f>
        <v/>
      </c>
      <c r="D41" s="6"/>
      <c r="E41" s="20" t="str">
        <f aca="false">IF($B41="","",IF($J41=0,"Hors BPU",IF(ISNUMBER($K41),ROUND($K41,2),$K41)))</f>
        <v/>
      </c>
      <c r="F41" s="21"/>
      <c r="G41" s="10"/>
      <c r="H41" s="22" t="str">
        <f aca="false">IF($B41="","",IF(AND($F41="",NOT(ISNUMBER($E41))),"PU à saisir",ROUND(N($D41)*IF($F41&lt;&gt;"",$F41,$E41)*IF($G41="",1,IFERROR(INDEX(Majorations!$C$2:$C$3,MATCH($G41,ListeMajorations,0)),1)),2)))</f>
        <v/>
      </c>
      <c r="J41" s="0" t="str">
        <f aca="false">IF($B41="","",IFERROR(MATCH($B41,ListePrestations,0),0))</f>
        <v/>
      </c>
      <c r="K41" s="0" t="str">
        <f aca="false">IF(OR($J41="",$J41=0),"",INDEX(BPU!$H$2:$H$117,$J41))</f>
        <v/>
      </c>
    </row>
    <row r="42" customFormat="false" ht="15" hidden="false" customHeight="false" outlineLevel="0" collapsed="false">
      <c r="A42" s="18" t="str">
        <f aca="false">IF($B42="","",COUNTA($B$15:$B42))</f>
        <v/>
      </c>
      <c r="B42" s="19"/>
      <c r="C42" s="18" t="str">
        <f aca="false">IF(OR($J42="",$J42=0),"",INDEX(BPU!$G$2:$G$117,$J42)&amp;"")</f>
        <v/>
      </c>
      <c r="D42" s="6"/>
      <c r="E42" s="20" t="str">
        <f aca="false">IF($B42="","",IF($J42=0,"Hors BPU",IF(ISNUMBER($K42),ROUND($K42,2),$K42)))</f>
        <v/>
      </c>
      <c r="F42" s="21"/>
      <c r="G42" s="10"/>
      <c r="H42" s="22" t="str">
        <f aca="false">IF($B42="","",IF(AND($F42="",NOT(ISNUMBER($E42))),"PU à saisir",ROUND(N($D42)*IF($F42&lt;&gt;"",$F42,$E42)*IF($G42="",1,IFERROR(INDEX(Majorations!$C$2:$C$3,MATCH($G42,ListeMajorations,0)),1)),2)))</f>
        <v/>
      </c>
      <c r="J42" s="0" t="str">
        <f aca="false">IF($B42="","",IFERROR(MATCH($B42,ListePrestations,0),0))</f>
        <v/>
      </c>
      <c r="K42" s="0" t="str">
        <f aca="false">IF(OR($J42="",$J42=0),"",INDEX(BPU!$H$2:$H$117,$J42))</f>
        <v/>
      </c>
    </row>
    <row r="43" customFormat="false" ht="15" hidden="false" customHeight="false" outlineLevel="0" collapsed="false">
      <c r="A43" s="18" t="str">
        <f aca="false">IF($B43="","",COUNTA($B$15:$B43))</f>
        <v/>
      </c>
      <c r="B43" s="19"/>
      <c r="C43" s="18" t="str">
        <f aca="false">IF(OR($J43="",$J43=0),"",INDEX(BPU!$G$2:$G$117,$J43)&amp;"")</f>
        <v/>
      </c>
      <c r="D43" s="6"/>
      <c r="E43" s="20" t="str">
        <f aca="false">IF($B43="","",IF($J43=0,"Hors BPU",IF(ISNUMBER($K43),ROUND($K43,2),$K43)))</f>
        <v/>
      </c>
      <c r="F43" s="21"/>
      <c r="G43" s="10"/>
      <c r="H43" s="22" t="str">
        <f aca="false">IF($B43="","",IF(AND($F43="",NOT(ISNUMBER($E43))),"PU à saisir",ROUND(N($D43)*IF($F43&lt;&gt;"",$F43,$E43)*IF($G43="",1,IFERROR(INDEX(Majorations!$C$2:$C$3,MATCH($G43,ListeMajorations,0)),1)),2)))</f>
        <v/>
      </c>
      <c r="J43" s="0" t="str">
        <f aca="false">IF($B43="","",IFERROR(MATCH($B43,ListePrestations,0),0))</f>
        <v/>
      </c>
      <c r="K43" s="0" t="str">
        <f aca="false">IF(OR($J43="",$J43=0),"",INDEX(BPU!$H$2:$H$117,$J43))</f>
        <v/>
      </c>
    </row>
    <row r="44" customFormat="false" ht="15" hidden="false" customHeight="false" outlineLevel="0" collapsed="false">
      <c r="A44" s="18" t="str">
        <f aca="false">IF($B44="","",COUNTA($B$15:$B44))</f>
        <v/>
      </c>
      <c r="B44" s="19"/>
      <c r="C44" s="18" t="str">
        <f aca="false">IF(OR($J44="",$J44=0),"",INDEX(BPU!$G$2:$G$117,$J44)&amp;"")</f>
        <v/>
      </c>
      <c r="D44" s="6"/>
      <c r="E44" s="20" t="str">
        <f aca="false">IF($B44="","",IF($J44=0,"Hors BPU",IF(ISNUMBER($K44),ROUND($K44,2),$K44)))</f>
        <v/>
      </c>
      <c r="F44" s="21"/>
      <c r="G44" s="10"/>
      <c r="H44" s="22" t="str">
        <f aca="false">IF($B44="","",IF(AND($F44="",NOT(ISNUMBER($E44))),"PU à saisir",ROUND(N($D44)*IF($F44&lt;&gt;"",$F44,$E44)*IF($G44="",1,IFERROR(INDEX(Majorations!$C$2:$C$3,MATCH($G44,ListeMajorations,0)),1)),2)))</f>
        <v/>
      </c>
      <c r="J44" s="0" t="str">
        <f aca="false">IF($B44="","",IFERROR(MATCH($B44,ListePrestations,0),0))</f>
        <v/>
      </c>
      <c r="K44" s="0" t="str">
        <f aca="false">IF(OR($J44="",$J44=0),"",INDEX(BPU!$H$2:$H$117,$J44))</f>
        <v/>
      </c>
    </row>
    <row r="46" customFormat="false" ht="15" hidden="false" customHeight="false" outlineLevel="0" collapsed="false">
      <c r="A46" s="24" t="str">
        <f aca="false">IF(COUNTIF(H15:H44,"PU à saisir")&gt;0,"Attention : "&amp;COUNTIF(H15:H44,"PU à saisir")&amp;" ligne(s) sur devis sans prix, à compléter dans la colonne « PU HT sur devis ».","")</f>
        <v/>
      </c>
      <c r="B46" s="24"/>
      <c r="C46" s="24"/>
      <c r="D46" s="24"/>
      <c r="E46" s="24"/>
      <c r="F46" s="24"/>
      <c r="G46" s="25" t="s">
        <v>54</v>
      </c>
      <c r="H46" s="26" t="n">
        <f aca="false">SUM(H15:H44)</f>
        <v>1241.52</v>
      </c>
    </row>
    <row r="47" customFormat="false" ht="15" hidden="false" customHeight="false" outlineLevel="0" collapsed="false">
      <c r="A47" s="27" t="str">
        <f aca="false">IF(COUNTA(G15:G44)=0,"","Majorations BPU appliquées au montant de la ligne : MC-07 × "&amp;FIXED(Majorations!$C$2,4)&amp;" ; MC-08 × "&amp;FIXED(Majorations!$C$3,4)&amp;".")</f>
        <v>Majorations BPU appliquées au montant de la ligne : MC-07 × 1.4906 ; MC-08 × 1.4078.</v>
      </c>
      <c r="B47" s="27"/>
      <c r="C47" s="27"/>
      <c r="D47" s="27"/>
      <c r="E47" s="27"/>
      <c r="F47" s="27"/>
      <c r="G47" s="25" t="str">
        <f aca="false">IF(Autoliq="Oui","TVA (autoliquidation)","TVA "&amp;TauxTVA*100&amp;" %")</f>
        <v>TVA 20 %</v>
      </c>
      <c r="H47" s="26" t="n">
        <f aca="false">IF(Autoliq="Oui",0,ROUND(H46*TauxTVA,2))</f>
        <v>248.3</v>
      </c>
    </row>
    <row r="48" customFormat="false" ht="15" hidden="false" customHeight="false" outlineLevel="0" collapsed="false">
      <c r="A48" s="27" t="str">
        <f aca="false">IF(Autoliq="Oui","Autoliquidation : TVA due par le preneur (article 283-2 nonies du CGI).","")</f>
        <v/>
      </c>
      <c r="B48" s="27"/>
      <c r="C48" s="27"/>
      <c r="D48" s="27"/>
      <c r="E48" s="27"/>
      <c r="F48" s="27"/>
      <c r="G48" s="28" t="s">
        <v>55</v>
      </c>
      <c r="H48" s="29" t="n">
        <f aca="false">H46+H47</f>
        <v>1489.82</v>
      </c>
    </row>
    <row r="50" customFormat="false" ht="15" hidden="false" customHeight="true" outlineLevel="0" collapsed="false">
      <c r="A50" s="13" t="s">
        <v>56</v>
      </c>
      <c r="B50" s="13"/>
      <c r="C50" s="13"/>
      <c r="D50" s="13"/>
      <c r="E50" s="13"/>
      <c r="F50" s="13"/>
      <c r="G50" s="13"/>
      <c r="H50" s="13"/>
    </row>
    <row r="51" customFormat="false" ht="15" hidden="false" customHeight="true" outlineLevel="0" collapsed="false">
      <c r="A51" s="4" t="s">
        <v>57</v>
      </c>
      <c r="B51" s="4"/>
      <c r="C51" s="4"/>
      <c r="D51" s="4"/>
      <c r="E51" s="4"/>
      <c r="F51" s="4"/>
      <c r="G51" s="4"/>
      <c r="H51" s="4"/>
    </row>
    <row r="52" customFormat="false" ht="15" hidden="false" customHeight="true" outlineLevel="0" collapsed="false">
      <c r="A52" s="4" t="s">
        <v>58</v>
      </c>
      <c r="B52" s="4"/>
      <c r="C52" s="4"/>
      <c r="D52" s="4"/>
      <c r="E52" s="4"/>
      <c r="F52" s="4"/>
      <c r="G52" s="4"/>
      <c r="H52" s="4"/>
    </row>
    <row r="53" customFormat="false" ht="15" hidden="false" customHeight="true" outlineLevel="0" collapsed="false">
      <c r="A53" s="4" t="s">
        <v>59</v>
      </c>
      <c r="B53" s="4"/>
      <c r="C53" s="4"/>
      <c r="D53" s="4"/>
      <c r="E53" s="4"/>
      <c r="F53" s="4"/>
      <c r="G53" s="4"/>
      <c r="H53" s="4"/>
    </row>
    <row r="54" customFormat="false" ht="15" hidden="false" customHeight="false" outlineLevel="0" collapsed="false">
      <c r="A54" s="30" t="str">
        <f aca="false">"Devis valable jusqu'au "&amp;IF(H5="","…",DAY(H5)&amp;"/"&amp;RIGHT("0"&amp;MONTH(H5),2)&amp;"/"&amp;YEAR(H5))&amp;"."</f>
        <v>Devis valable jusqu'au 20/11/2026.</v>
      </c>
      <c r="B54" s="30"/>
      <c r="C54" s="30"/>
      <c r="D54" s="30"/>
      <c r="E54" s="30"/>
      <c r="F54" s="30"/>
      <c r="G54" s="30"/>
      <c r="H54" s="30"/>
    </row>
    <row r="56" customFormat="false" ht="15" hidden="false" customHeight="true" outlineLevel="0" collapsed="false">
      <c r="A56" s="31" t="s">
        <v>60</v>
      </c>
      <c r="B56" s="31"/>
      <c r="E56" s="31" t="s">
        <v>61</v>
      </c>
      <c r="F56" s="31"/>
      <c r="G56" s="31"/>
      <c r="H56" s="31"/>
    </row>
    <row r="57" customFormat="false" ht="15" hidden="false" customHeight="false" outlineLevel="0" collapsed="false">
      <c r="A57" s="32"/>
      <c r="B57" s="32"/>
      <c r="E57" s="32"/>
      <c r="F57" s="32"/>
      <c r="G57" s="32"/>
      <c r="H57" s="32"/>
    </row>
    <row r="58" customFormat="false" ht="15" hidden="false" customHeight="false" outlineLevel="0" collapsed="false">
      <c r="A58" s="32"/>
      <c r="B58" s="32"/>
      <c r="E58" s="32"/>
      <c r="F58" s="32"/>
      <c r="G58" s="32"/>
      <c r="H58" s="32"/>
    </row>
    <row r="59" customFormat="false" ht="15" hidden="false" customHeight="false" outlineLevel="0" collapsed="false">
      <c r="A59" s="32"/>
      <c r="B59" s="32"/>
      <c r="E59" s="32"/>
      <c r="F59" s="32"/>
      <c r="G59" s="32"/>
      <c r="H59" s="32"/>
    </row>
    <row r="60" customFormat="false" ht="15" hidden="false" customHeight="false" outlineLevel="0" collapsed="false">
      <c r="A60" s="32"/>
      <c r="B60" s="32"/>
      <c r="E60" s="32"/>
      <c r="F60" s="32"/>
      <c r="G60" s="32"/>
      <c r="H60" s="32"/>
    </row>
    <row r="61" customFormat="false" ht="15" hidden="false" customHeight="false" outlineLevel="0" collapsed="false">
      <c r="A61" s="32"/>
      <c r="B61" s="32"/>
      <c r="E61" s="32"/>
      <c r="F61" s="32"/>
      <c r="G61" s="32"/>
      <c r="H61" s="32"/>
    </row>
  </sheetData>
  <mergeCells count="36">
    <mergeCell ref="A1:B1"/>
    <mergeCell ref="F1:H1"/>
    <mergeCell ref="L1:N1"/>
    <mergeCell ref="A2:B2"/>
    <mergeCell ref="F2:G2"/>
    <mergeCell ref="A3:B3"/>
    <mergeCell ref="F3:G3"/>
    <mergeCell ref="A4:B4"/>
    <mergeCell ref="F4:G4"/>
    <mergeCell ref="A5:B5"/>
    <mergeCell ref="F5:G5"/>
    <mergeCell ref="A6:B6"/>
    <mergeCell ref="F6:G6"/>
    <mergeCell ref="L6:N6"/>
    <mergeCell ref="A8:B8"/>
    <mergeCell ref="C8:H8"/>
    <mergeCell ref="A9:B9"/>
    <mergeCell ref="D9:H9"/>
    <mergeCell ref="A10:B10"/>
    <mergeCell ref="D10:H10"/>
    <mergeCell ref="A11:B11"/>
    <mergeCell ref="D11:H11"/>
    <mergeCell ref="A12:B12"/>
    <mergeCell ref="D12:H12"/>
    <mergeCell ref="A46:F46"/>
    <mergeCell ref="A47:F47"/>
    <mergeCell ref="A48:F48"/>
    <mergeCell ref="A50:H50"/>
    <mergeCell ref="A51:H51"/>
    <mergeCell ref="A52:H52"/>
    <mergeCell ref="A53:H53"/>
    <mergeCell ref="A54:H54"/>
    <mergeCell ref="A56:B56"/>
    <mergeCell ref="E56:H56"/>
    <mergeCell ref="A57:B61"/>
    <mergeCell ref="E57:H61"/>
  </mergeCells>
  <conditionalFormatting sqref="F15:F44">
    <cfRule type="expression" priority="2" aboveAverage="0" equalAverage="0" bottom="0" percent="0" rank="0" text="" dxfId="0">
      <formula>AND($B15&lt;&gt;"",NOT(ISNUMBER($E15)),$F15="")</formula>
    </cfRule>
  </conditionalFormatting>
  <conditionalFormatting sqref="H15:H44">
    <cfRule type="expression" priority="3" aboveAverage="0" equalAverage="0" bottom="0" percent="0" rank="0" text="" dxfId="1">
      <formula>$H15="PU à saisir"</formula>
    </cfRule>
  </conditionalFormatting>
  <dataValidations count="4">
    <dataValidation allowBlank="true" error="Cette prestation n'est pas dans le BPU. Continuer pour la saisir quand même (indiquer alors un PU HT sur devis)." errorStyle="warning" errorTitle="Prestation hors BPU" operator="between" prompt="Choisir dans la liste (ou taper le code pour la retrouver)." promptTitle="Prestation" showDropDown="false" showErrorMessage="false" showInputMessage="false" sqref="B15:B44" type="list">
      <formula1>ListePrestations</formula1>
      <formula2>0</formula2>
    </dataValidation>
    <dataValidation allowBlank="true" errorStyle="stop" operator="between" prompt="Facultatif : MC-07 ou MC-08 multiplie le montant de la ligne." promptTitle="Majoration" showDropDown="false" showErrorMessage="false" showInputMessage="false" sqref="G15:G44" type="list">
      <formula1>ListeMajorations</formula1>
      <formula2>0</formula2>
    </dataValidation>
    <dataValidation allowBlank="true" error="Quantité positive attendue." errorStyle="stop" operator="greaterThanOrEqual" showDropDown="false" showErrorMessage="false" showInputMessage="false" sqref="D15:D44" type="decimal">
      <formula1>0</formula1>
      <formula2>0</formula2>
    </dataValidation>
    <dataValidation allowBlank="false" errorStyle="stop" operator="between" showDropDown="false" showErrorMessage="false" showInputMessage="false" sqref="N3" type="list">
      <formula1>"Non,Oui"</formula1>
      <formula2>0</formula2>
    </dataValidation>
  </dataValidations>
  <printOptions headings="false" gridLines="false" gridLinesSet="true" horizontalCentered="false" verticalCentered="false"/>
  <pageMargins left="0.4" right="0.4" top="0.5" bottom="0.5"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&amp;C&amp;"Arial,Regular"Page &amp;P /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30"/>
    <col collapsed="false" customWidth="true" hidden="false" outlineLevel="0" max="4" min="4" style="0" width="9"/>
    <col collapsed="false" customWidth="true" hidden="false" outlineLevel="0" max="5" min="5" style="0" width="60"/>
    <col collapsed="false" customWidth="true" hidden="false" outlineLevel="0" max="6" min="6" style="0" width="50"/>
    <col collapsed="false" customWidth="true" hidden="false" outlineLevel="0" max="7" min="7" style="0" width="16"/>
    <col collapsed="false" customWidth="true" hidden="false" outlineLevel="0" max="8" min="8" style="0" width="14"/>
    <col collapsed="false" customWidth="true" hidden="false" outlineLevel="0" max="9" min="9" style="0" width="40"/>
    <col collapsed="false" customWidth="true" hidden="false" outlineLevel="0" max="10" min="10" style="0" width="70"/>
    <col collapsed="false" customWidth="true" hidden="false" outlineLevel="0" max="11" min="11" style="0" width="42"/>
  </cols>
  <sheetData>
    <row r="1" customFormat="false" ht="30" hidden="false" customHeight="true" outlineLevel="0" collapsed="false">
      <c r="A1" s="16" t="s">
        <v>62</v>
      </c>
      <c r="B1" s="16" t="s">
        <v>63</v>
      </c>
      <c r="C1" s="16" t="s">
        <v>64</v>
      </c>
      <c r="D1" s="16" t="s">
        <v>65</v>
      </c>
      <c r="E1" s="16" t="s">
        <v>66</v>
      </c>
      <c r="F1" s="16" t="s">
        <v>67</v>
      </c>
      <c r="G1" s="16" t="s">
        <v>38</v>
      </c>
      <c r="H1" s="16" t="s">
        <v>68</v>
      </c>
      <c r="I1" s="16" t="s">
        <v>69</v>
      </c>
      <c r="J1" s="16" t="s">
        <v>70</v>
      </c>
      <c r="K1" s="16" t="s">
        <v>71</v>
      </c>
    </row>
    <row r="2" customFormat="false" ht="15" hidden="false" customHeight="false" outlineLevel="0" collapsed="false">
      <c r="A2" s="33" t="s">
        <v>72</v>
      </c>
      <c r="B2" s="33" t="s">
        <v>73</v>
      </c>
      <c r="C2" s="33" t="s">
        <v>74</v>
      </c>
      <c r="D2" s="33" t="s">
        <v>75</v>
      </c>
      <c r="E2" s="34" t="s">
        <v>76</v>
      </c>
      <c r="F2" s="33" t="s">
        <v>77</v>
      </c>
      <c r="G2" s="33" t="s">
        <v>78</v>
      </c>
      <c r="H2" s="35" t="n">
        <v>210</v>
      </c>
      <c r="I2" s="33" t="s">
        <v>79</v>
      </c>
      <c r="J2" s="33" t="s">
        <v>47</v>
      </c>
      <c r="K2" s="33" t="s">
        <v>80</v>
      </c>
    </row>
    <row r="3" customFormat="false" ht="15" hidden="false" customHeight="false" outlineLevel="0" collapsed="false">
      <c r="A3" s="33" t="s">
        <v>72</v>
      </c>
      <c r="B3" s="33" t="s">
        <v>73</v>
      </c>
      <c r="C3" s="33" t="s">
        <v>74</v>
      </c>
      <c r="D3" s="33" t="s">
        <v>81</v>
      </c>
      <c r="E3" s="34" t="s">
        <v>82</v>
      </c>
      <c r="F3" s="33" t="s">
        <v>77</v>
      </c>
      <c r="G3" s="33" t="s">
        <v>78</v>
      </c>
      <c r="H3" s="35" t="n">
        <v>210</v>
      </c>
      <c r="I3" s="33" t="s">
        <v>79</v>
      </c>
      <c r="J3" s="33" t="s">
        <v>83</v>
      </c>
      <c r="K3" s="33" t="s">
        <v>84</v>
      </c>
    </row>
    <row r="4" customFormat="false" ht="15" hidden="false" customHeight="false" outlineLevel="0" collapsed="false">
      <c r="A4" s="33" t="s">
        <v>72</v>
      </c>
      <c r="B4" s="33" t="s">
        <v>73</v>
      </c>
      <c r="C4" s="33" t="s">
        <v>74</v>
      </c>
      <c r="D4" s="33" t="s">
        <v>85</v>
      </c>
      <c r="E4" s="34" t="s">
        <v>86</v>
      </c>
      <c r="F4" s="33" t="s">
        <v>77</v>
      </c>
      <c r="G4" s="33" t="s">
        <v>78</v>
      </c>
      <c r="H4" s="35" t="n">
        <v>210</v>
      </c>
      <c r="I4" s="33" t="s">
        <v>79</v>
      </c>
      <c r="J4" s="33" t="s">
        <v>87</v>
      </c>
      <c r="K4" s="33" t="s">
        <v>88</v>
      </c>
    </row>
    <row r="5" customFormat="false" ht="15" hidden="false" customHeight="false" outlineLevel="0" collapsed="false">
      <c r="A5" s="33" t="s">
        <v>72</v>
      </c>
      <c r="B5" s="33" t="s">
        <v>73</v>
      </c>
      <c r="C5" s="33" t="s">
        <v>74</v>
      </c>
      <c r="D5" s="33" t="s">
        <v>89</v>
      </c>
      <c r="E5" s="34" t="s">
        <v>90</v>
      </c>
      <c r="F5" s="33" t="s">
        <v>77</v>
      </c>
      <c r="G5" s="33" t="s">
        <v>78</v>
      </c>
      <c r="H5" s="35" t="n">
        <v>210</v>
      </c>
      <c r="I5" s="33" t="s">
        <v>79</v>
      </c>
      <c r="J5" s="33" t="s">
        <v>91</v>
      </c>
      <c r="K5" s="33" t="s">
        <v>92</v>
      </c>
    </row>
    <row r="6" customFormat="false" ht="15" hidden="false" customHeight="false" outlineLevel="0" collapsed="false">
      <c r="A6" s="33" t="s">
        <v>72</v>
      </c>
      <c r="B6" s="33" t="s">
        <v>73</v>
      </c>
      <c r="C6" s="33" t="s">
        <v>74</v>
      </c>
      <c r="D6" s="33" t="s">
        <v>93</v>
      </c>
      <c r="E6" s="34" t="s">
        <v>94</v>
      </c>
      <c r="F6" s="33" t="s">
        <v>95</v>
      </c>
      <c r="G6" s="33" t="s">
        <v>78</v>
      </c>
      <c r="H6" s="35" t="n">
        <v>459.51</v>
      </c>
      <c r="I6" s="33" t="s">
        <v>79</v>
      </c>
      <c r="J6" s="33" t="s">
        <v>96</v>
      </c>
      <c r="K6" s="33" t="s">
        <v>97</v>
      </c>
    </row>
    <row r="7" customFormat="false" ht="15" hidden="false" customHeight="false" outlineLevel="0" collapsed="false">
      <c r="A7" s="33" t="s">
        <v>72</v>
      </c>
      <c r="B7" s="33" t="s">
        <v>73</v>
      </c>
      <c r="C7" s="33" t="s">
        <v>74</v>
      </c>
      <c r="D7" s="33" t="s">
        <v>93</v>
      </c>
      <c r="E7" s="34" t="s">
        <v>98</v>
      </c>
      <c r="F7" s="33" t="s">
        <v>99</v>
      </c>
      <c r="G7" s="33" t="s">
        <v>100</v>
      </c>
      <c r="H7" s="35" t="n">
        <v>0.93</v>
      </c>
      <c r="I7" s="33" t="s">
        <v>101</v>
      </c>
      <c r="J7" s="33" t="s">
        <v>102</v>
      </c>
      <c r="K7" s="33" t="s">
        <v>97</v>
      </c>
    </row>
    <row r="8" customFormat="false" ht="23.85" hidden="false" customHeight="false" outlineLevel="0" collapsed="false">
      <c r="A8" s="33" t="s">
        <v>72</v>
      </c>
      <c r="B8" s="33" t="s">
        <v>73</v>
      </c>
      <c r="C8" s="33" t="s">
        <v>74</v>
      </c>
      <c r="D8" s="33" t="s">
        <v>103</v>
      </c>
      <c r="E8" s="34" t="s">
        <v>104</v>
      </c>
      <c r="F8" s="33" t="s">
        <v>77</v>
      </c>
      <c r="G8" s="33" t="s">
        <v>78</v>
      </c>
      <c r="H8" s="35" t="n">
        <v>210</v>
      </c>
      <c r="I8" s="33" t="s">
        <v>79</v>
      </c>
      <c r="J8" s="33" t="s">
        <v>105</v>
      </c>
      <c r="K8" s="33" t="s">
        <v>106</v>
      </c>
    </row>
    <row r="9" customFormat="false" ht="15" hidden="false" customHeight="false" outlineLevel="0" collapsed="false">
      <c r="A9" s="33" t="s">
        <v>72</v>
      </c>
      <c r="B9" s="33" t="s">
        <v>73</v>
      </c>
      <c r="C9" s="33" t="s">
        <v>74</v>
      </c>
      <c r="D9" s="33" t="s">
        <v>93</v>
      </c>
      <c r="E9" s="34" t="s">
        <v>107</v>
      </c>
      <c r="F9" s="33" t="s">
        <v>108</v>
      </c>
      <c r="G9" s="33" t="s">
        <v>78</v>
      </c>
      <c r="H9" s="35" t="n">
        <v>50.1875</v>
      </c>
      <c r="I9" s="33" t="s">
        <v>79</v>
      </c>
      <c r="J9" s="33" t="s">
        <v>109</v>
      </c>
      <c r="K9" s="33" t="s">
        <v>110</v>
      </c>
    </row>
    <row r="10" customFormat="false" ht="15" hidden="false" customHeight="false" outlineLevel="0" collapsed="false">
      <c r="A10" s="33" t="s">
        <v>72</v>
      </c>
      <c r="B10" s="33" t="s">
        <v>73</v>
      </c>
      <c r="C10" s="33" t="s">
        <v>74</v>
      </c>
      <c r="D10" s="33" t="s">
        <v>103</v>
      </c>
      <c r="E10" s="34" t="s">
        <v>111</v>
      </c>
      <c r="F10" s="33" t="s">
        <v>108</v>
      </c>
      <c r="G10" s="33" t="s">
        <v>78</v>
      </c>
      <c r="H10" s="35" t="n">
        <v>50.1875</v>
      </c>
      <c r="I10" s="33" t="s">
        <v>79</v>
      </c>
      <c r="J10" s="33" t="s">
        <v>112</v>
      </c>
      <c r="K10" s="33" t="s">
        <v>113</v>
      </c>
    </row>
    <row r="11" customFormat="false" ht="15" hidden="false" customHeight="false" outlineLevel="0" collapsed="false">
      <c r="A11" s="33" t="s">
        <v>72</v>
      </c>
      <c r="B11" s="33" t="s">
        <v>73</v>
      </c>
      <c r="C11" s="33" t="s">
        <v>74</v>
      </c>
      <c r="D11" s="33" t="s">
        <v>114</v>
      </c>
      <c r="E11" s="34" t="s">
        <v>115</v>
      </c>
      <c r="F11" s="33" t="s">
        <v>108</v>
      </c>
      <c r="G11" s="33" t="s">
        <v>78</v>
      </c>
      <c r="H11" s="35" t="n">
        <v>50.1875</v>
      </c>
      <c r="I11" s="33" t="s">
        <v>79</v>
      </c>
      <c r="J11" s="33" t="s">
        <v>116</v>
      </c>
      <c r="K11" s="33" t="s">
        <v>117</v>
      </c>
    </row>
    <row r="12" customFormat="false" ht="15" hidden="false" customHeight="false" outlineLevel="0" collapsed="false">
      <c r="A12" s="33" t="s">
        <v>72</v>
      </c>
      <c r="B12" s="33" t="s">
        <v>73</v>
      </c>
      <c r="C12" s="33" t="s">
        <v>74</v>
      </c>
      <c r="D12" s="33" t="s">
        <v>118</v>
      </c>
      <c r="E12" s="34" t="s">
        <v>119</v>
      </c>
      <c r="F12" s="33"/>
      <c r="G12" s="33" t="s">
        <v>78</v>
      </c>
      <c r="H12" s="35" t="s">
        <v>120</v>
      </c>
      <c r="I12" s="33" t="s">
        <v>79</v>
      </c>
      <c r="J12" s="33" t="s">
        <v>121</v>
      </c>
      <c r="K12" s="33" t="s">
        <v>122</v>
      </c>
    </row>
    <row r="13" customFormat="false" ht="15" hidden="false" customHeight="false" outlineLevel="0" collapsed="false">
      <c r="A13" s="33" t="s">
        <v>72</v>
      </c>
      <c r="B13" s="33" t="s">
        <v>73</v>
      </c>
      <c r="C13" s="33" t="s">
        <v>74</v>
      </c>
      <c r="D13" s="33" t="s">
        <v>118</v>
      </c>
      <c r="E13" s="34" t="s">
        <v>123</v>
      </c>
      <c r="F13" s="33"/>
      <c r="G13" s="33" t="s">
        <v>78</v>
      </c>
      <c r="H13" s="35" t="s">
        <v>120</v>
      </c>
      <c r="I13" s="33" t="s">
        <v>79</v>
      </c>
      <c r="J13" s="33" t="s">
        <v>124</v>
      </c>
      <c r="K13" s="33" t="s">
        <v>125</v>
      </c>
    </row>
    <row r="14" customFormat="false" ht="15" hidden="false" customHeight="false" outlineLevel="0" collapsed="false">
      <c r="A14" s="33" t="s">
        <v>72</v>
      </c>
      <c r="B14" s="33" t="s">
        <v>73</v>
      </c>
      <c r="C14" s="33" t="s">
        <v>74</v>
      </c>
      <c r="D14" s="33" t="s">
        <v>118</v>
      </c>
      <c r="E14" s="34" t="s">
        <v>126</v>
      </c>
      <c r="F14" s="33"/>
      <c r="G14" s="33" t="s">
        <v>78</v>
      </c>
      <c r="H14" s="35" t="s">
        <v>120</v>
      </c>
      <c r="I14" s="33" t="s">
        <v>79</v>
      </c>
      <c r="J14" s="33" t="s">
        <v>127</v>
      </c>
      <c r="K14" s="33" t="s">
        <v>128</v>
      </c>
    </row>
    <row r="15" customFormat="false" ht="23.85" hidden="false" customHeight="false" outlineLevel="0" collapsed="false">
      <c r="A15" s="33" t="s">
        <v>72</v>
      </c>
      <c r="B15" s="33" t="s">
        <v>129</v>
      </c>
      <c r="C15" s="33" t="s">
        <v>130</v>
      </c>
      <c r="D15" s="33" t="s">
        <v>131</v>
      </c>
      <c r="E15" s="34" t="s">
        <v>132</v>
      </c>
      <c r="F15" s="33"/>
      <c r="G15" s="33" t="s">
        <v>133</v>
      </c>
      <c r="H15" s="35" t="n">
        <v>500</v>
      </c>
      <c r="I15" s="33" t="s">
        <v>134</v>
      </c>
      <c r="J15" s="33" t="s">
        <v>135</v>
      </c>
      <c r="K15" s="33" t="s">
        <v>136</v>
      </c>
    </row>
    <row r="16" customFormat="false" ht="23.85" hidden="false" customHeight="false" outlineLevel="0" collapsed="false">
      <c r="A16" s="33" t="s">
        <v>72</v>
      </c>
      <c r="B16" s="33" t="s">
        <v>129</v>
      </c>
      <c r="C16" s="33" t="s">
        <v>130</v>
      </c>
      <c r="D16" s="33" t="s">
        <v>137</v>
      </c>
      <c r="E16" s="34" t="s">
        <v>138</v>
      </c>
      <c r="F16" s="33"/>
      <c r="G16" s="33" t="s">
        <v>133</v>
      </c>
      <c r="H16" s="35" t="n">
        <v>300</v>
      </c>
      <c r="I16" s="33" t="s">
        <v>134</v>
      </c>
      <c r="J16" s="33" t="s">
        <v>139</v>
      </c>
      <c r="K16" s="33" t="s">
        <v>140</v>
      </c>
    </row>
    <row r="17" customFormat="false" ht="23.85" hidden="false" customHeight="false" outlineLevel="0" collapsed="false">
      <c r="A17" s="33" t="s">
        <v>72</v>
      </c>
      <c r="B17" s="33" t="s">
        <v>129</v>
      </c>
      <c r="C17" s="33" t="s">
        <v>141</v>
      </c>
      <c r="D17" s="33" t="s">
        <v>142</v>
      </c>
      <c r="E17" s="34" t="s">
        <v>143</v>
      </c>
      <c r="F17" s="33"/>
      <c r="G17" s="33" t="s">
        <v>144</v>
      </c>
      <c r="H17" s="35" t="n">
        <v>160.341790896159</v>
      </c>
      <c r="I17" s="33" t="s">
        <v>79</v>
      </c>
      <c r="J17" s="33" t="s">
        <v>48</v>
      </c>
      <c r="K17" s="33" t="s">
        <v>145</v>
      </c>
    </row>
    <row r="18" customFormat="false" ht="23.85" hidden="false" customHeight="false" outlineLevel="0" collapsed="false">
      <c r="A18" s="33" t="s">
        <v>72</v>
      </c>
      <c r="B18" s="33" t="s">
        <v>129</v>
      </c>
      <c r="C18" s="33" t="s">
        <v>141</v>
      </c>
      <c r="D18" s="33" t="s">
        <v>146</v>
      </c>
      <c r="E18" s="34" t="s">
        <v>147</v>
      </c>
      <c r="F18" s="33"/>
      <c r="G18" s="33" t="s">
        <v>144</v>
      </c>
      <c r="H18" s="35" t="n">
        <v>137.720957325747</v>
      </c>
      <c r="I18" s="33" t="s">
        <v>79</v>
      </c>
      <c r="J18" s="33" t="s">
        <v>148</v>
      </c>
      <c r="K18" s="33" t="s">
        <v>149</v>
      </c>
    </row>
    <row r="19" customFormat="false" ht="23.85" hidden="false" customHeight="false" outlineLevel="0" collapsed="false">
      <c r="A19" s="33" t="s">
        <v>72</v>
      </c>
      <c r="B19" s="33" t="s">
        <v>129</v>
      </c>
      <c r="C19" s="33" t="s">
        <v>141</v>
      </c>
      <c r="D19" s="33" t="s">
        <v>150</v>
      </c>
      <c r="E19" s="34" t="s">
        <v>151</v>
      </c>
      <c r="F19" s="33"/>
      <c r="G19" s="33" t="s">
        <v>144</v>
      </c>
      <c r="H19" s="35" t="n">
        <v>141.71286913229</v>
      </c>
      <c r="I19" s="33" t="s">
        <v>79</v>
      </c>
      <c r="J19" s="33" t="s">
        <v>152</v>
      </c>
      <c r="K19" s="33" t="s">
        <v>153</v>
      </c>
    </row>
    <row r="20" customFormat="false" ht="23.85" hidden="false" customHeight="false" outlineLevel="0" collapsed="false">
      <c r="A20" s="33" t="s">
        <v>72</v>
      </c>
      <c r="B20" s="33" t="s">
        <v>129</v>
      </c>
      <c r="C20" s="33" t="s">
        <v>141</v>
      </c>
      <c r="D20" s="33" t="s">
        <v>154</v>
      </c>
      <c r="E20" s="34" t="s">
        <v>155</v>
      </c>
      <c r="F20" s="33"/>
      <c r="G20" s="33" t="s">
        <v>144</v>
      </c>
      <c r="H20" s="35" t="n">
        <v>86.4914224751066</v>
      </c>
      <c r="I20" s="33" t="s">
        <v>79</v>
      </c>
      <c r="J20" s="33" t="s">
        <v>156</v>
      </c>
      <c r="K20" s="33" t="s">
        <v>157</v>
      </c>
    </row>
    <row r="21" customFormat="false" ht="15" hidden="false" customHeight="false" outlineLevel="0" collapsed="false">
      <c r="A21" s="33" t="s">
        <v>72</v>
      </c>
      <c r="B21" s="33" t="s">
        <v>129</v>
      </c>
      <c r="C21" s="33" t="s">
        <v>141</v>
      </c>
      <c r="D21" s="33" t="s">
        <v>158</v>
      </c>
      <c r="E21" s="34" t="s">
        <v>159</v>
      </c>
      <c r="F21" s="33"/>
      <c r="G21" s="33" t="s">
        <v>144</v>
      </c>
      <c r="H21" s="35" t="n">
        <v>50.5</v>
      </c>
      <c r="I21" s="33" t="s">
        <v>79</v>
      </c>
      <c r="J21" s="33" t="s">
        <v>160</v>
      </c>
      <c r="K21" s="33" t="s">
        <v>161</v>
      </c>
    </row>
    <row r="22" customFormat="false" ht="23.85" hidden="false" customHeight="false" outlineLevel="0" collapsed="false">
      <c r="A22" s="33" t="s">
        <v>72</v>
      </c>
      <c r="B22" s="33" t="s">
        <v>129</v>
      </c>
      <c r="C22" s="33" t="s">
        <v>141</v>
      </c>
      <c r="D22" s="33" t="s">
        <v>162</v>
      </c>
      <c r="E22" s="34" t="s">
        <v>163</v>
      </c>
      <c r="F22" s="33"/>
      <c r="G22" s="33" t="s">
        <v>144</v>
      </c>
      <c r="H22" s="35" t="n">
        <v>163.62</v>
      </c>
      <c r="I22" s="33" t="s">
        <v>79</v>
      </c>
      <c r="J22" s="33" t="s">
        <v>164</v>
      </c>
      <c r="K22" s="33" t="s">
        <v>165</v>
      </c>
    </row>
    <row r="23" customFormat="false" ht="15" hidden="false" customHeight="false" outlineLevel="0" collapsed="false">
      <c r="A23" s="33" t="s">
        <v>72</v>
      </c>
      <c r="B23" s="33" t="s">
        <v>129</v>
      </c>
      <c r="C23" s="33" t="s">
        <v>141</v>
      </c>
      <c r="D23" s="33" t="s">
        <v>166</v>
      </c>
      <c r="E23" s="34" t="s">
        <v>167</v>
      </c>
      <c r="F23" s="33"/>
      <c r="G23" s="33" t="s">
        <v>144</v>
      </c>
      <c r="H23" s="35" t="n">
        <v>50.5</v>
      </c>
      <c r="I23" s="33" t="s">
        <v>79</v>
      </c>
      <c r="J23" s="33" t="s">
        <v>168</v>
      </c>
      <c r="K23" s="33" t="s">
        <v>169</v>
      </c>
    </row>
    <row r="24" customFormat="false" ht="15" hidden="false" customHeight="false" outlineLevel="0" collapsed="false">
      <c r="A24" s="33" t="s">
        <v>72</v>
      </c>
      <c r="B24" s="33" t="s">
        <v>129</v>
      </c>
      <c r="C24" s="33" t="s">
        <v>141</v>
      </c>
      <c r="D24" s="33" t="s">
        <v>170</v>
      </c>
      <c r="E24" s="34" t="s">
        <v>171</v>
      </c>
      <c r="F24" s="33"/>
      <c r="G24" s="33" t="s">
        <v>144</v>
      </c>
      <c r="H24" s="35" t="n">
        <v>163.62</v>
      </c>
      <c r="I24" s="33" t="s">
        <v>79</v>
      </c>
      <c r="J24" s="33" t="s">
        <v>172</v>
      </c>
      <c r="K24" s="33" t="s">
        <v>173</v>
      </c>
    </row>
    <row r="25" customFormat="false" ht="23.85" hidden="false" customHeight="false" outlineLevel="0" collapsed="false">
      <c r="A25" s="33" t="s">
        <v>72</v>
      </c>
      <c r="B25" s="33" t="s">
        <v>129</v>
      </c>
      <c r="C25" s="33" t="s">
        <v>174</v>
      </c>
      <c r="D25" s="33" t="s">
        <v>175</v>
      </c>
      <c r="E25" s="34" t="s">
        <v>176</v>
      </c>
      <c r="F25" s="33"/>
      <c r="G25" s="33" t="s">
        <v>177</v>
      </c>
      <c r="H25" s="35" t="n">
        <v>35.92625</v>
      </c>
      <c r="I25" s="33" t="s">
        <v>79</v>
      </c>
      <c r="J25" s="33" t="s">
        <v>50</v>
      </c>
      <c r="K25" s="33" t="s">
        <v>178</v>
      </c>
    </row>
    <row r="26" customFormat="false" ht="23.85" hidden="false" customHeight="false" outlineLevel="0" collapsed="false">
      <c r="A26" s="33" t="s">
        <v>72</v>
      </c>
      <c r="B26" s="33" t="s">
        <v>129</v>
      </c>
      <c r="C26" s="33" t="s">
        <v>174</v>
      </c>
      <c r="D26" s="33" t="s">
        <v>179</v>
      </c>
      <c r="E26" s="34" t="s">
        <v>180</v>
      </c>
      <c r="F26" s="33"/>
      <c r="G26" s="33" t="s">
        <v>177</v>
      </c>
      <c r="H26" s="35" t="n">
        <v>35.05125</v>
      </c>
      <c r="I26" s="33" t="s">
        <v>79</v>
      </c>
      <c r="J26" s="33" t="s">
        <v>181</v>
      </c>
      <c r="K26" s="33" t="s">
        <v>182</v>
      </c>
    </row>
    <row r="27" customFormat="false" ht="15" hidden="false" customHeight="false" outlineLevel="0" collapsed="false">
      <c r="A27" s="33" t="s">
        <v>72</v>
      </c>
      <c r="B27" s="33" t="s">
        <v>129</v>
      </c>
      <c r="C27" s="33" t="s">
        <v>174</v>
      </c>
      <c r="D27" s="33" t="s">
        <v>183</v>
      </c>
      <c r="E27" s="34" t="s">
        <v>184</v>
      </c>
      <c r="F27" s="33"/>
      <c r="G27" s="33" t="s">
        <v>177</v>
      </c>
      <c r="H27" s="35" t="n">
        <v>55.17</v>
      </c>
      <c r="I27" s="33" t="s">
        <v>79</v>
      </c>
      <c r="J27" s="33" t="s">
        <v>185</v>
      </c>
      <c r="K27" s="33" t="s">
        <v>186</v>
      </c>
    </row>
    <row r="28" customFormat="false" ht="15" hidden="false" customHeight="false" outlineLevel="0" collapsed="false">
      <c r="A28" s="33" t="s">
        <v>72</v>
      </c>
      <c r="B28" s="33" t="s">
        <v>129</v>
      </c>
      <c r="C28" s="33" t="s">
        <v>174</v>
      </c>
      <c r="D28" s="33" t="s">
        <v>187</v>
      </c>
      <c r="E28" s="34" t="s">
        <v>188</v>
      </c>
      <c r="F28" s="33"/>
      <c r="G28" s="33" t="s">
        <v>177</v>
      </c>
      <c r="H28" s="35" t="n">
        <v>73.72</v>
      </c>
      <c r="I28" s="33" t="s">
        <v>79</v>
      </c>
      <c r="J28" s="33" t="s">
        <v>189</v>
      </c>
      <c r="K28" s="33" t="s">
        <v>190</v>
      </c>
    </row>
    <row r="29" customFormat="false" ht="15" hidden="false" customHeight="false" outlineLevel="0" collapsed="false">
      <c r="A29" s="33" t="s">
        <v>72</v>
      </c>
      <c r="B29" s="33" t="s">
        <v>129</v>
      </c>
      <c r="C29" s="33" t="s">
        <v>174</v>
      </c>
      <c r="D29" s="33" t="s">
        <v>191</v>
      </c>
      <c r="E29" s="34" t="s">
        <v>192</v>
      </c>
      <c r="F29" s="33"/>
      <c r="G29" s="33" t="s">
        <v>177</v>
      </c>
      <c r="H29" s="35" t="n">
        <v>123.75</v>
      </c>
      <c r="I29" s="33" t="s">
        <v>79</v>
      </c>
      <c r="J29" s="33" t="s">
        <v>193</v>
      </c>
      <c r="K29" s="33" t="s">
        <v>194</v>
      </c>
    </row>
    <row r="30" customFormat="false" ht="23.85" hidden="false" customHeight="false" outlineLevel="0" collapsed="false">
      <c r="A30" s="33" t="s">
        <v>72</v>
      </c>
      <c r="B30" s="33" t="s">
        <v>129</v>
      </c>
      <c r="C30" s="33" t="s">
        <v>174</v>
      </c>
      <c r="D30" s="33" t="s">
        <v>195</v>
      </c>
      <c r="E30" s="34" t="s">
        <v>196</v>
      </c>
      <c r="F30" s="33"/>
      <c r="G30" s="33" t="s">
        <v>197</v>
      </c>
      <c r="H30" s="35" t="s">
        <v>120</v>
      </c>
      <c r="I30" s="33" t="s">
        <v>79</v>
      </c>
      <c r="J30" s="33" t="s">
        <v>198</v>
      </c>
      <c r="K30" s="33" t="s">
        <v>199</v>
      </c>
    </row>
    <row r="31" customFormat="false" ht="23.85" hidden="false" customHeight="false" outlineLevel="0" collapsed="false">
      <c r="A31" s="33" t="s">
        <v>72</v>
      </c>
      <c r="B31" s="33" t="s">
        <v>129</v>
      </c>
      <c r="C31" s="33" t="s">
        <v>200</v>
      </c>
      <c r="D31" s="33" t="s">
        <v>201</v>
      </c>
      <c r="E31" s="34" t="s">
        <v>202</v>
      </c>
      <c r="F31" s="33"/>
      <c r="G31" s="33" t="s">
        <v>203</v>
      </c>
      <c r="H31" s="35" t="s">
        <v>120</v>
      </c>
      <c r="I31" s="33" t="s">
        <v>79</v>
      </c>
      <c r="J31" s="33" t="s">
        <v>204</v>
      </c>
      <c r="K31" s="33" t="s">
        <v>205</v>
      </c>
    </row>
    <row r="32" customFormat="false" ht="15" hidden="false" customHeight="false" outlineLevel="0" collapsed="false">
      <c r="A32" s="33" t="s">
        <v>72</v>
      </c>
      <c r="B32" s="33" t="s">
        <v>129</v>
      </c>
      <c r="C32" s="33" t="s">
        <v>200</v>
      </c>
      <c r="D32" s="33" t="s">
        <v>206</v>
      </c>
      <c r="E32" s="34" t="s">
        <v>207</v>
      </c>
      <c r="F32" s="33"/>
      <c r="G32" s="33" t="s">
        <v>203</v>
      </c>
      <c r="H32" s="35" t="s">
        <v>120</v>
      </c>
      <c r="I32" s="33" t="s">
        <v>79</v>
      </c>
      <c r="J32" s="33" t="s">
        <v>208</v>
      </c>
      <c r="K32" s="33" t="s">
        <v>209</v>
      </c>
    </row>
    <row r="33" customFormat="false" ht="23.85" hidden="false" customHeight="false" outlineLevel="0" collapsed="false">
      <c r="A33" s="33" t="s">
        <v>72</v>
      </c>
      <c r="B33" s="33" t="s">
        <v>129</v>
      </c>
      <c r="C33" s="33" t="s">
        <v>200</v>
      </c>
      <c r="D33" s="33" t="s">
        <v>210</v>
      </c>
      <c r="E33" s="34" t="s">
        <v>211</v>
      </c>
      <c r="F33" s="33"/>
      <c r="G33" s="33" t="s">
        <v>203</v>
      </c>
      <c r="H33" s="35" t="s">
        <v>120</v>
      </c>
      <c r="I33" s="33" t="s">
        <v>79</v>
      </c>
      <c r="J33" s="33" t="s">
        <v>212</v>
      </c>
      <c r="K33" s="33" t="s">
        <v>213</v>
      </c>
    </row>
    <row r="34" customFormat="false" ht="23.85" hidden="false" customHeight="false" outlineLevel="0" collapsed="false">
      <c r="A34" s="33" t="s">
        <v>72</v>
      </c>
      <c r="B34" s="33" t="s">
        <v>129</v>
      </c>
      <c r="C34" s="33" t="s">
        <v>200</v>
      </c>
      <c r="D34" s="33" t="s">
        <v>214</v>
      </c>
      <c r="E34" s="34" t="s">
        <v>215</v>
      </c>
      <c r="F34" s="33"/>
      <c r="G34" s="33" t="s">
        <v>203</v>
      </c>
      <c r="H34" s="35" t="s">
        <v>120</v>
      </c>
      <c r="I34" s="33" t="s">
        <v>79</v>
      </c>
      <c r="J34" s="33" t="s">
        <v>216</v>
      </c>
      <c r="K34" s="33" t="s">
        <v>217</v>
      </c>
    </row>
    <row r="35" customFormat="false" ht="15" hidden="false" customHeight="false" outlineLevel="0" collapsed="false">
      <c r="A35" s="33" t="s">
        <v>72</v>
      </c>
      <c r="B35" s="33" t="s">
        <v>129</v>
      </c>
      <c r="C35" s="33" t="s">
        <v>200</v>
      </c>
      <c r="D35" s="33" t="s">
        <v>218</v>
      </c>
      <c r="E35" s="34" t="s">
        <v>219</v>
      </c>
      <c r="F35" s="33"/>
      <c r="G35" s="33" t="s">
        <v>203</v>
      </c>
      <c r="H35" s="35" t="s">
        <v>120</v>
      </c>
      <c r="I35" s="33" t="s">
        <v>79</v>
      </c>
      <c r="J35" s="33" t="s">
        <v>220</v>
      </c>
      <c r="K35" s="33" t="s">
        <v>221</v>
      </c>
    </row>
    <row r="36" customFormat="false" ht="15" hidden="false" customHeight="false" outlineLevel="0" collapsed="false">
      <c r="A36" s="33" t="s">
        <v>72</v>
      </c>
      <c r="B36" s="33" t="s">
        <v>129</v>
      </c>
      <c r="C36" s="33" t="s">
        <v>200</v>
      </c>
      <c r="D36" s="33" t="s">
        <v>222</v>
      </c>
      <c r="E36" s="34" t="s">
        <v>223</v>
      </c>
      <c r="F36" s="33"/>
      <c r="G36" s="33" t="s">
        <v>203</v>
      </c>
      <c r="H36" s="35" t="s">
        <v>120</v>
      </c>
      <c r="I36" s="33" t="s">
        <v>79</v>
      </c>
      <c r="J36" s="33" t="s">
        <v>224</v>
      </c>
      <c r="K36" s="33" t="s">
        <v>225</v>
      </c>
    </row>
    <row r="37" customFormat="false" ht="15" hidden="false" customHeight="false" outlineLevel="0" collapsed="false">
      <c r="A37" s="36" t="s">
        <v>226</v>
      </c>
      <c r="B37" s="36" t="s">
        <v>227</v>
      </c>
      <c r="C37" s="36" t="s">
        <v>227</v>
      </c>
      <c r="D37" s="36" t="s">
        <v>228</v>
      </c>
      <c r="E37" s="34" t="s">
        <v>229</v>
      </c>
      <c r="F37" s="33" t="s">
        <v>230</v>
      </c>
      <c r="G37" s="33" t="s">
        <v>100</v>
      </c>
      <c r="H37" s="35" t="n">
        <v>0.4</v>
      </c>
      <c r="I37" s="33"/>
      <c r="J37" s="33" t="s">
        <v>231</v>
      </c>
      <c r="K37" s="33" t="s">
        <v>232</v>
      </c>
    </row>
    <row r="38" customFormat="false" ht="15" hidden="false" customHeight="false" outlineLevel="0" collapsed="false">
      <c r="A38" s="36" t="s">
        <v>226</v>
      </c>
      <c r="B38" s="36" t="s">
        <v>227</v>
      </c>
      <c r="C38" s="36" t="s">
        <v>227</v>
      </c>
      <c r="D38" s="36" t="s">
        <v>233</v>
      </c>
      <c r="E38" s="34" t="s">
        <v>234</v>
      </c>
      <c r="F38" s="33" t="s">
        <v>235</v>
      </c>
      <c r="G38" s="33" t="s">
        <v>236</v>
      </c>
      <c r="H38" s="35" t="n">
        <v>550</v>
      </c>
      <c r="I38" s="33"/>
      <c r="J38" s="33" t="s">
        <v>237</v>
      </c>
      <c r="K38" s="33" t="s">
        <v>238</v>
      </c>
    </row>
    <row r="39" customFormat="false" ht="35.05" hidden="false" customHeight="false" outlineLevel="0" collapsed="false">
      <c r="A39" s="36" t="s">
        <v>226</v>
      </c>
      <c r="B39" s="36" t="s">
        <v>227</v>
      </c>
      <c r="C39" s="36" t="s">
        <v>227</v>
      </c>
      <c r="D39" s="36" t="s">
        <v>239</v>
      </c>
      <c r="E39" s="34" t="s">
        <v>240</v>
      </c>
      <c r="F39" s="33"/>
      <c r="G39" s="33" t="s">
        <v>236</v>
      </c>
      <c r="H39" s="35" t="n">
        <v>25</v>
      </c>
      <c r="I39" s="33"/>
      <c r="J39" s="33" t="s">
        <v>241</v>
      </c>
      <c r="K39" s="33" t="s">
        <v>242</v>
      </c>
    </row>
    <row r="40" customFormat="false" ht="35.05" hidden="false" customHeight="false" outlineLevel="0" collapsed="false">
      <c r="A40" s="36" t="s">
        <v>226</v>
      </c>
      <c r="B40" s="36" t="s">
        <v>227</v>
      </c>
      <c r="C40" s="36" t="s">
        <v>227</v>
      </c>
      <c r="D40" s="36" t="s">
        <v>243</v>
      </c>
      <c r="E40" s="34" t="s">
        <v>244</v>
      </c>
      <c r="F40" s="33"/>
      <c r="G40" s="33" t="s">
        <v>236</v>
      </c>
      <c r="H40" s="35" t="n">
        <v>35</v>
      </c>
      <c r="I40" s="33"/>
      <c r="J40" s="33" t="s">
        <v>245</v>
      </c>
      <c r="K40" s="33" t="s">
        <v>246</v>
      </c>
    </row>
    <row r="41" customFormat="false" ht="23.85" hidden="false" customHeight="false" outlineLevel="0" collapsed="false">
      <c r="A41" s="36" t="s">
        <v>226</v>
      </c>
      <c r="B41" s="36" t="s">
        <v>247</v>
      </c>
      <c r="C41" s="36" t="s">
        <v>248</v>
      </c>
      <c r="D41" s="36" t="s">
        <v>249</v>
      </c>
      <c r="E41" s="34" t="s">
        <v>250</v>
      </c>
      <c r="F41" s="33" t="s">
        <v>251</v>
      </c>
      <c r="G41" s="33" t="s">
        <v>100</v>
      </c>
      <c r="H41" s="35" t="n">
        <v>1</v>
      </c>
      <c r="I41" s="33"/>
      <c r="J41" s="33" t="s">
        <v>51</v>
      </c>
      <c r="K41" s="33" t="s">
        <v>252</v>
      </c>
    </row>
    <row r="42" customFormat="false" ht="23.85" hidden="false" customHeight="false" outlineLevel="0" collapsed="false">
      <c r="A42" s="36" t="s">
        <v>226</v>
      </c>
      <c r="B42" s="36" t="s">
        <v>247</v>
      </c>
      <c r="C42" s="36" t="s">
        <v>248</v>
      </c>
      <c r="D42" s="36" t="s">
        <v>253</v>
      </c>
      <c r="E42" s="34" t="s">
        <v>254</v>
      </c>
      <c r="F42" s="33" t="s">
        <v>251</v>
      </c>
      <c r="G42" s="33" t="s">
        <v>100</v>
      </c>
      <c r="H42" s="35" t="n">
        <v>1.2</v>
      </c>
      <c r="I42" s="33"/>
      <c r="J42" s="33" t="s">
        <v>255</v>
      </c>
      <c r="K42" s="33" t="s">
        <v>256</v>
      </c>
    </row>
    <row r="43" customFormat="false" ht="15" hidden="false" customHeight="false" outlineLevel="0" collapsed="false">
      <c r="A43" s="36" t="s">
        <v>226</v>
      </c>
      <c r="B43" s="36" t="s">
        <v>247</v>
      </c>
      <c r="C43" s="36" t="s">
        <v>248</v>
      </c>
      <c r="D43" s="36" t="s">
        <v>257</v>
      </c>
      <c r="E43" s="34" t="s">
        <v>258</v>
      </c>
      <c r="F43" s="33" t="s">
        <v>251</v>
      </c>
      <c r="G43" s="33" t="s">
        <v>100</v>
      </c>
      <c r="H43" s="35" t="n">
        <v>0.45</v>
      </c>
      <c r="I43" s="33"/>
      <c r="J43" s="33" t="s">
        <v>259</v>
      </c>
      <c r="K43" s="33" t="s">
        <v>260</v>
      </c>
    </row>
    <row r="44" customFormat="false" ht="15" hidden="false" customHeight="false" outlineLevel="0" collapsed="false">
      <c r="A44" s="36" t="s">
        <v>226</v>
      </c>
      <c r="B44" s="36" t="s">
        <v>247</v>
      </c>
      <c r="C44" s="36" t="s">
        <v>248</v>
      </c>
      <c r="D44" s="36" t="s">
        <v>257</v>
      </c>
      <c r="E44" s="34" t="s">
        <v>261</v>
      </c>
      <c r="F44" s="33" t="s">
        <v>251</v>
      </c>
      <c r="G44" s="33" t="s">
        <v>100</v>
      </c>
      <c r="H44" s="35" t="n">
        <v>-0.35</v>
      </c>
      <c r="I44" s="33"/>
      <c r="J44" s="33" t="s">
        <v>262</v>
      </c>
      <c r="K44" s="33" t="s">
        <v>263</v>
      </c>
    </row>
    <row r="45" customFormat="false" ht="15" hidden="false" customHeight="false" outlineLevel="0" collapsed="false">
      <c r="A45" s="36" t="s">
        <v>226</v>
      </c>
      <c r="B45" s="36" t="s">
        <v>247</v>
      </c>
      <c r="C45" s="36" t="s">
        <v>248</v>
      </c>
      <c r="D45" s="36" t="s">
        <v>257</v>
      </c>
      <c r="E45" s="34" t="s">
        <v>264</v>
      </c>
      <c r="F45" s="33" t="s">
        <v>251</v>
      </c>
      <c r="G45" s="33" t="s">
        <v>100</v>
      </c>
      <c r="H45" s="35" t="n">
        <v>-0.25</v>
      </c>
      <c r="I45" s="33"/>
      <c r="J45" s="33" t="s">
        <v>265</v>
      </c>
      <c r="K45" s="33" t="s">
        <v>266</v>
      </c>
    </row>
    <row r="46" customFormat="false" ht="15" hidden="false" customHeight="false" outlineLevel="0" collapsed="false">
      <c r="A46" s="36" t="s">
        <v>226</v>
      </c>
      <c r="B46" s="36" t="s">
        <v>247</v>
      </c>
      <c r="C46" s="36" t="s">
        <v>267</v>
      </c>
      <c r="D46" s="36" t="s">
        <v>268</v>
      </c>
      <c r="E46" s="34" t="s">
        <v>269</v>
      </c>
      <c r="F46" s="33" t="s">
        <v>270</v>
      </c>
      <c r="G46" s="33" t="s">
        <v>100</v>
      </c>
      <c r="H46" s="35" t="n">
        <v>1.6</v>
      </c>
      <c r="I46" s="33"/>
      <c r="J46" s="33" t="s">
        <v>271</v>
      </c>
      <c r="K46" s="33" t="s">
        <v>272</v>
      </c>
    </row>
    <row r="47" customFormat="false" ht="15" hidden="false" customHeight="false" outlineLevel="0" collapsed="false">
      <c r="A47" s="36" t="s">
        <v>226</v>
      </c>
      <c r="B47" s="36" t="s">
        <v>247</v>
      </c>
      <c r="C47" s="36" t="s">
        <v>267</v>
      </c>
      <c r="D47" s="36" t="s">
        <v>273</v>
      </c>
      <c r="E47" s="34" t="s">
        <v>274</v>
      </c>
      <c r="F47" s="33" t="s">
        <v>270</v>
      </c>
      <c r="G47" s="33" t="s">
        <v>100</v>
      </c>
      <c r="H47" s="35" t="n">
        <v>1.8</v>
      </c>
      <c r="I47" s="33"/>
      <c r="J47" s="33" t="s">
        <v>275</v>
      </c>
      <c r="K47" s="33" t="s">
        <v>276</v>
      </c>
    </row>
    <row r="48" customFormat="false" ht="15" hidden="false" customHeight="false" outlineLevel="0" collapsed="false">
      <c r="A48" s="36" t="s">
        <v>226</v>
      </c>
      <c r="B48" s="36" t="s">
        <v>247</v>
      </c>
      <c r="C48" s="36" t="s">
        <v>267</v>
      </c>
      <c r="D48" s="36" t="s">
        <v>277</v>
      </c>
      <c r="E48" s="34" t="s">
        <v>278</v>
      </c>
      <c r="F48" s="33" t="s">
        <v>270</v>
      </c>
      <c r="G48" s="33" t="s">
        <v>100</v>
      </c>
      <c r="H48" s="35" t="n">
        <v>1.3</v>
      </c>
      <c r="I48" s="33"/>
      <c r="J48" s="33" t="s">
        <v>279</v>
      </c>
      <c r="K48" s="33" t="s">
        <v>280</v>
      </c>
    </row>
    <row r="49" customFormat="false" ht="15" hidden="false" customHeight="false" outlineLevel="0" collapsed="false">
      <c r="A49" s="36" t="s">
        <v>226</v>
      </c>
      <c r="B49" s="36" t="s">
        <v>247</v>
      </c>
      <c r="C49" s="36" t="s">
        <v>267</v>
      </c>
      <c r="D49" s="36" t="s">
        <v>281</v>
      </c>
      <c r="E49" s="34" t="s">
        <v>258</v>
      </c>
      <c r="F49" s="33" t="s">
        <v>270</v>
      </c>
      <c r="G49" s="33" t="s">
        <v>100</v>
      </c>
      <c r="H49" s="35" t="n">
        <v>0.45</v>
      </c>
      <c r="I49" s="33"/>
      <c r="J49" s="33" t="s">
        <v>282</v>
      </c>
      <c r="K49" s="33" t="s">
        <v>283</v>
      </c>
    </row>
    <row r="50" customFormat="false" ht="15" hidden="false" customHeight="false" outlineLevel="0" collapsed="false">
      <c r="A50" s="36" t="s">
        <v>226</v>
      </c>
      <c r="B50" s="36" t="s">
        <v>247</v>
      </c>
      <c r="C50" s="36" t="s">
        <v>267</v>
      </c>
      <c r="D50" s="36" t="s">
        <v>284</v>
      </c>
      <c r="E50" s="34" t="s">
        <v>285</v>
      </c>
      <c r="F50" s="33" t="s">
        <v>286</v>
      </c>
      <c r="G50" s="33" t="s">
        <v>287</v>
      </c>
      <c r="H50" s="35" t="n">
        <v>35</v>
      </c>
      <c r="I50" s="33"/>
      <c r="J50" s="33" t="s">
        <v>288</v>
      </c>
      <c r="K50" s="33" t="s">
        <v>289</v>
      </c>
    </row>
    <row r="51" customFormat="false" ht="15" hidden="false" customHeight="false" outlineLevel="0" collapsed="false">
      <c r="A51" s="36" t="s">
        <v>226</v>
      </c>
      <c r="B51" s="36" t="s">
        <v>247</v>
      </c>
      <c r="C51" s="36" t="s">
        <v>290</v>
      </c>
      <c r="D51" s="36" t="s">
        <v>291</v>
      </c>
      <c r="E51" s="34" t="s">
        <v>292</v>
      </c>
      <c r="F51" s="33" t="s">
        <v>293</v>
      </c>
      <c r="G51" s="33" t="s">
        <v>287</v>
      </c>
      <c r="H51" s="35" t="n">
        <v>100</v>
      </c>
      <c r="I51" s="33"/>
      <c r="J51" s="33" t="s">
        <v>294</v>
      </c>
      <c r="K51" s="33" t="s">
        <v>295</v>
      </c>
    </row>
    <row r="52" customFormat="false" ht="15" hidden="false" customHeight="false" outlineLevel="0" collapsed="false">
      <c r="A52" s="36" t="s">
        <v>226</v>
      </c>
      <c r="B52" s="36" t="s">
        <v>247</v>
      </c>
      <c r="C52" s="36" t="s">
        <v>290</v>
      </c>
      <c r="D52" s="36" t="s">
        <v>296</v>
      </c>
      <c r="E52" s="34" t="s">
        <v>297</v>
      </c>
      <c r="F52" s="33" t="s">
        <v>293</v>
      </c>
      <c r="G52" s="33" t="s">
        <v>287</v>
      </c>
      <c r="H52" s="35" t="n">
        <v>130</v>
      </c>
      <c r="I52" s="33"/>
      <c r="J52" s="33" t="s">
        <v>52</v>
      </c>
      <c r="K52" s="33" t="s">
        <v>298</v>
      </c>
    </row>
    <row r="53" customFormat="false" ht="15" hidden="false" customHeight="false" outlineLevel="0" collapsed="false">
      <c r="A53" s="36" t="s">
        <v>226</v>
      </c>
      <c r="B53" s="36" t="s">
        <v>247</v>
      </c>
      <c r="C53" s="36" t="s">
        <v>290</v>
      </c>
      <c r="D53" s="36" t="s">
        <v>299</v>
      </c>
      <c r="E53" s="34" t="s">
        <v>300</v>
      </c>
      <c r="F53" s="33" t="s">
        <v>293</v>
      </c>
      <c r="G53" s="33" t="s">
        <v>287</v>
      </c>
      <c r="H53" s="35" t="n">
        <v>170</v>
      </c>
      <c r="I53" s="33"/>
      <c r="J53" s="33" t="s">
        <v>301</v>
      </c>
      <c r="K53" s="33" t="s">
        <v>302</v>
      </c>
    </row>
    <row r="54" customFormat="false" ht="15" hidden="false" customHeight="false" outlineLevel="0" collapsed="false">
      <c r="A54" s="36" t="s">
        <v>226</v>
      </c>
      <c r="B54" s="36" t="s">
        <v>247</v>
      </c>
      <c r="C54" s="36" t="s">
        <v>290</v>
      </c>
      <c r="D54" s="36" t="s">
        <v>303</v>
      </c>
      <c r="E54" s="34" t="s">
        <v>304</v>
      </c>
      <c r="F54" s="33" t="s">
        <v>293</v>
      </c>
      <c r="G54" s="33" t="s">
        <v>287</v>
      </c>
      <c r="H54" s="35" t="n">
        <v>200</v>
      </c>
      <c r="I54" s="33"/>
      <c r="J54" s="33" t="s">
        <v>305</v>
      </c>
      <c r="K54" s="33" t="s">
        <v>306</v>
      </c>
    </row>
    <row r="55" customFormat="false" ht="15" hidden="false" customHeight="false" outlineLevel="0" collapsed="false">
      <c r="A55" s="36" t="s">
        <v>226</v>
      </c>
      <c r="B55" s="36" t="s">
        <v>247</v>
      </c>
      <c r="C55" s="36" t="s">
        <v>290</v>
      </c>
      <c r="D55" s="36" t="s">
        <v>307</v>
      </c>
      <c r="E55" s="34" t="s">
        <v>308</v>
      </c>
      <c r="F55" s="33" t="s">
        <v>293</v>
      </c>
      <c r="G55" s="33" t="s">
        <v>287</v>
      </c>
      <c r="H55" s="35" t="n">
        <v>270</v>
      </c>
      <c r="I55" s="33"/>
      <c r="J55" s="33" t="s">
        <v>309</v>
      </c>
      <c r="K55" s="33" t="s">
        <v>310</v>
      </c>
    </row>
    <row r="56" customFormat="false" ht="15" hidden="false" customHeight="false" outlineLevel="0" collapsed="false">
      <c r="A56" s="36" t="s">
        <v>226</v>
      </c>
      <c r="B56" s="36" t="s">
        <v>247</v>
      </c>
      <c r="C56" s="36" t="s">
        <v>290</v>
      </c>
      <c r="D56" s="36" t="s">
        <v>311</v>
      </c>
      <c r="E56" s="34" t="s">
        <v>312</v>
      </c>
      <c r="F56" s="33" t="s">
        <v>293</v>
      </c>
      <c r="G56" s="33" t="s">
        <v>287</v>
      </c>
      <c r="H56" s="35" t="n">
        <v>340</v>
      </c>
      <c r="I56" s="33"/>
      <c r="J56" s="33" t="s">
        <v>313</v>
      </c>
      <c r="K56" s="33" t="s">
        <v>314</v>
      </c>
    </row>
    <row r="57" customFormat="false" ht="15" hidden="false" customHeight="false" outlineLevel="0" collapsed="false">
      <c r="A57" s="36" t="s">
        <v>226</v>
      </c>
      <c r="B57" s="36" t="s">
        <v>247</v>
      </c>
      <c r="C57" s="36" t="s">
        <v>290</v>
      </c>
      <c r="D57" s="36" t="s">
        <v>315</v>
      </c>
      <c r="E57" s="34" t="s">
        <v>316</v>
      </c>
      <c r="F57" s="33" t="s">
        <v>293</v>
      </c>
      <c r="G57" s="33" t="s">
        <v>287</v>
      </c>
      <c r="H57" s="35" t="n">
        <v>450</v>
      </c>
      <c r="I57" s="33"/>
      <c r="J57" s="33" t="s">
        <v>317</v>
      </c>
      <c r="K57" s="33" t="s">
        <v>318</v>
      </c>
    </row>
    <row r="58" customFormat="false" ht="15" hidden="false" customHeight="false" outlineLevel="0" collapsed="false">
      <c r="A58" s="36" t="s">
        <v>226</v>
      </c>
      <c r="B58" s="36" t="s">
        <v>247</v>
      </c>
      <c r="C58" s="36" t="s">
        <v>290</v>
      </c>
      <c r="D58" s="36" t="s">
        <v>319</v>
      </c>
      <c r="E58" s="34" t="s">
        <v>320</v>
      </c>
      <c r="F58" s="33" t="s">
        <v>293</v>
      </c>
      <c r="G58" s="33" t="s">
        <v>287</v>
      </c>
      <c r="H58" s="35" t="n">
        <v>800</v>
      </c>
      <c r="I58" s="33"/>
      <c r="J58" s="33" t="s">
        <v>321</v>
      </c>
      <c r="K58" s="33" t="s">
        <v>322</v>
      </c>
    </row>
    <row r="59" customFormat="false" ht="15" hidden="false" customHeight="false" outlineLevel="0" collapsed="false">
      <c r="A59" s="36" t="s">
        <v>226</v>
      </c>
      <c r="B59" s="36" t="s">
        <v>247</v>
      </c>
      <c r="C59" s="36" t="s">
        <v>290</v>
      </c>
      <c r="D59" s="36" t="s">
        <v>323</v>
      </c>
      <c r="E59" s="34" t="s">
        <v>324</v>
      </c>
      <c r="F59" s="33" t="s">
        <v>293</v>
      </c>
      <c r="G59" s="33" t="s">
        <v>287</v>
      </c>
      <c r="H59" s="35" t="n">
        <v>70</v>
      </c>
      <c r="I59" s="33"/>
      <c r="J59" s="33" t="s">
        <v>325</v>
      </c>
      <c r="K59" s="33" t="s">
        <v>326</v>
      </c>
    </row>
    <row r="60" customFormat="false" ht="15" hidden="false" customHeight="false" outlineLevel="0" collapsed="false">
      <c r="A60" s="36" t="s">
        <v>226</v>
      </c>
      <c r="B60" s="36" t="s">
        <v>247</v>
      </c>
      <c r="C60" s="36" t="s">
        <v>290</v>
      </c>
      <c r="D60" s="36" t="s">
        <v>327</v>
      </c>
      <c r="E60" s="34" t="s">
        <v>328</v>
      </c>
      <c r="F60" s="33" t="s">
        <v>293</v>
      </c>
      <c r="G60" s="33" t="s">
        <v>287</v>
      </c>
      <c r="H60" s="35" t="n">
        <v>70</v>
      </c>
      <c r="I60" s="33"/>
      <c r="J60" s="33" t="s">
        <v>329</v>
      </c>
      <c r="K60" s="33" t="s">
        <v>330</v>
      </c>
    </row>
    <row r="61" customFormat="false" ht="15" hidden="false" customHeight="false" outlineLevel="0" collapsed="false">
      <c r="A61" s="36" t="s">
        <v>226</v>
      </c>
      <c r="B61" s="36" t="s">
        <v>247</v>
      </c>
      <c r="C61" s="36" t="s">
        <v>331</v>
      </c>
      <c r="D61" s="36" t="s">
        <v>332</v>
      </c>
      <c r="E61" s="34" t="s">
        <v>333</v>
      </c>
      <c r="F61" s="33" t="s">
        <v>334</v>
      </c>
      <c r="G61" s="33" t="s">
        <v>287</v>
      </c>
      <c r="H61" s="35" t="n">
        <v>80</v>
      </c>
      <c r="I61" s="33"/>
      <c r="J61" s="33" t="s">
        <v>335</v>
      </c>
      <c r="K61" s="33" t="s">
        <v>336</v>
      </c>
    </row>
    <row r="62" customFormat="false" ht="15" hidden="false" customHeight="false" outlineLevel="0" collapsed="false">
      <c r="A62" s="36" t="s">
        <v>226</v>
      </c>
      <c r="B62" s="36" t="s">
        <v>247</v>
      </c>
      <c r="C62" s="36" t="s">
        <v>331</v>
      </c>
      <c r="D62" s="36" t="s">
        <v>337</v>
      </c>
      <c r="E62" s="34" t="s">
        <v>292</v>
      </c>
      <c r="F62" s="33" t="s">
        <v>334</v>
      </c>
      <c r="G62" s="33" t="s">
        <v>287</v>
      </c>
      <c r="H62" s="35" t="n">
        <v>90</v>
      </c>
      <c r="I62" s="33"/>
      <c r="J62" s="33" t="s">
        <v>338</v>
      </c>
      <c r="K62" s="33" t="s">
        <v>339</v>
      </c>
    </row>
    <row r="63" customFormat="false" ht="15" hidden="false" customHeight="false" outlineLevel="0" collapsed="false">
      <c r="A63" s="36" t="s">
        <v>226</v>
      </c>
      <c r="B63" s="36" t="s">
        <v>247</v>
      </c>
      <c r="C63" s="36" t="s">
        <v>331</v>
      </c>
      <c r="D63" s="36" t="s">
        <v>340</v>
      </c>
      <c r="E63" s="34" t="s">
        <v>297</v>
      </c>
      <c r="F63" s="33" t="s">
        <v>334</v>
      </c>
      <c r="G63" s="33" t="s">
        <v>287</v>
      </c>
      <c r="H63" s="35" t="n">
        <v>120</v>
      </c>
      <c r="I63" s="33"/>
      <c r="J63" s="33" t="s">
        <v>341</v>
      </c>
      <c r="K63" s="33" t="s">
        <v>342</v>
      </c>
    </row>
    <row r="64" customFormat="false" ht="15" hidden="false" customHeight="false" outlineLevel="0" collapsed="false">
      <c r="A64" s="36" t="s">
        <v>226</v>
      </c>
      <c r="B64" s="36" t="s">
        <v>247</v>
      </c>
      <c r="C64" s="36" t="s">
        <v>331</v>
      </c>
      <c r="D64" s="36" t="s">
        <v>343</v>
      </c>
      <c r="E64" s="34" t="s">
        <v>300</v>
      </c>
      <c r="F64" s="33" t="s">
        <v>334</v>
      </c>
      <c r="G64" s="33" t="s">
        <v>287</v>
      </c>
      <c r="H64" s="35" t="n">
        <v>150</v>
      </c>
      <c r="I64" s="33"/>
      <c r="J64" s="33" t="s">
        <v>344</v>
      </c>
      <c r="K64" s="33" t="s">
        <v>345</v>
      </c>
    </row>
    <row r="65" customFormat="false" ht="15" hidden="false" customHeight="false" outlineLevel="0" collapsed="false">
      <c r="A65" s="36" t="s">
        <v>226</v>
      </c>
      <c r="B65" s="36" t="s">
        <v>247</v>
      </c>
      <c r="C65" s="36" t="s">
        <v>331</v>
      </c>
      <c r="D65" s="36" t="s">
        <v>346</v>
      </c>
      <c r="E65" s="34" t="s">
        <v>304</v>
      </c>
      <c r="F65" s="33" t="s">
        <v>334</v>
      </c>
      <c r="G65" s="33" t="s">
        <v>287</v>
      </c>
      <c r="H65" s="35" t="n">
        <v>180</v>
      </c>
      <c r="I65" s="33"/>
      <c r="J65" s="33" t="s">
        <v>347</v>
      </c>
      <c r="K65" s="33" t="s">
        <v>348</v>
      </c>
    </row>
    <row r="66" customFormat="false" ht="15" hidden="false" customHeight="false" outlineLevel="0" collapsed="false">
      <c r="A66" s="36" t="s">
        <v>226</v>
      </c>
      <c r="B66" s="36" t="s">
        <v>247</v>
      </c>
      <c r="C66" s="36" t="s">
        <v>331</v>
      </c>
      <c r="D66" s="36" t="s">
        <v>349</v>
      </c>
      <c r="E66" s="34" t="s">
        <v>308</v>
      </c>
      <c r="F66" s="33" t="s">
        <v>334</v>
      </c>
      <c r="G66" s="33" t="s">
        <v>287</v>
      </c>
      <c r="H66" s="35" t="n">
        <v>240</v>
      </c>
      <c r="I66" s="33"/>
      <c r="J66" s="33" t="s">
        <v>350</v>
      </c>
      <c r="K66" s="33" t="s">
        <v>351</v>
      </c>
    </row>
    <row r="67" customFormat="false" ht="15" hidden="false" customHeight="false" outlineLevel="0" collapsed="false">
      <c r="A67" s="36" t="s">
        <v>226</v>
      </c>
      <c r="B67" s="36" t="s">
        <v>247</v>
      </c>
      <c r="C67" s="36" t="s">
        <v>331</v>
      </c>
      <c r="D67" s="36" t="s">
        <v>352</v>
      </c>
      <c r="E67" s="34" t="s">
        <v>312</v>
      </c>
      <c r="F67" s="33" t="s">
        <v>334</v>
      </c>
      <c r="G67" s="33" t="s">
        <v>287</v>
      </c>
      <c r="H67" s="35" t="n">
        <v>320</v>
      </c>
      <c r="I67" s="33"/>
      <c r="J67" s="33" t="s">
        <v>353</v>
      </c>
      <c r="K67" s="33" t="s">
        <v>354</v>
      </c>
    </row>
    <row r="68" customFormat="false" ht="15" hidden="false" customHeight="false" outlineLevel="0" collapsed="false">
      <c r="A68" s="36" t="s">
        <v>226</v>
      </c>
      <c r="B68" s="36" t="s">
        <v>247</v>
      </c>
      <c r="C68" s="36" t="s">
        <v>331</v>
      </c>
      <c r="D68" s="36" t="s">
        <v>355</v>
      </c>
      <c r="E68" s="34" t="s">
        <v>316</v>
      </c>
      <c r="F68" s="33" t="s">
        <v>334</v>
      </c>
      <c r="G68" s="33" t="s">
        <v>287</v>
      </c>
      <c r="H68" s="35" t="n">
        <v>500</v>
      </c>
      <c r="I68" s="33"/>
      <c r="J68" s="33" t="s">
        <v>356</v>
      </c>
      <c r="K68" s="33" t="s">
        <v>357</v>
      </c>
    </row>
    <row r="69" customFormat="false" ht="15" hidden="false" customHeight="false" outlineLevel="0" collapsed="false">
      <c r="A69" s="36" t="s">
        <v>226</v>
      </c>
      <c r="B69" s="36" t="s">
        <v>247</v>
      </c>
      <c r="C69" s="36" t="s">
        <v>331</v>
      </c>
      <c r="D69" s="36" t="s">
        <v>358</v>
      </c>
      <c r="E69" s="34" t="s">
        <v>359</v>
      </c>
      <c r="F69" s="33" t="s">
        <v>334</v>
      </c>
      <c r="G69" s="33" t="s">
        <v>287</v>
      </c>
      <c r="H69" s="35" t="n">
        <v>100</v>
      </c>
      <c r="I69" s="33"/>
      <c r="J69" s="33" t="s">
        <v>360</v>
      </c>
      <c r="K69" s="33" t="s">
        <v>361</v>
      </c>
    </row>
    <row r="70" customFormat="false" ht="15" hidden="false" customHeight="false" outlineLevel="0" collapsed="false">
      <c r="A70" s="36" t="s">
        <v>226</v>
      </c>
      <c r="B70" s="36" t="s">
        <v>247</v>
      </c>
      <c r="C70" s="36" t="s">
        <v>331</v>
      </c>
      <c r="D70" s="36" t="s">
        <v>362</v>
      </c>
      <c r="E70" s="34" t="s">
        <v>363</v>
      </c>
      <c r="F70" s="33" t="s">
        <v>334</v>
      </c>
      <c r="G70" s="33" t="s">
        <v>287</v>
      </c>
      <c r="H70" s="35" t="n">
        <v>100</v>
      </c>
      <c r="I70" s="33"/>
      <c r="J70" s="33" t="s">
        <v>364</v>
      </c>
      <c r="K70" s="33" t="s">
        <v>365</v>
      </c>
    </row>
    <row r="71" customFormat="false" ht="23.85" hidden="false" customHeight="false" outlineLevel="0" collapsed="false">
      <c r="A71" s="36" t="s">
        <v>226</v>
      </c>
      <c r="B71" s="36" t="s">
        <v>247</v>
      </c>
      <c r="C71" s="36" t="s">
        <v>366</v>
      </c>
      <c r="D71" s="36" t="s">
        <v>367</v>
      </c>
      <c r="E71" s="34" t="s">
        <v>368</v>
      </c>
      <c r="F71" s="33" t="s">
        <v>369</v>
      </c>
      <c r="G71" s="33" t="s">
        <v>236</v>
      </c>
      <c r="H71" s="35" t="n">
        <v>65</v>
      </c>
      <c r="I71" s="33"/>
      <c r="J71" s="33" t="s">
        <v>370</v>
      </c>
      <c r="K71" s="33" t="s">
        <v>371</v>
      </c>
    </row>
    <row r="72" customFormat="false" ht="15" hidden="false" customHeight="false" outlineLevel="0" collapsed="false">
      <c r="A72" s="36" t="s">
        <v>226</v>
      </c>
      <c r="B72" s="36" t="s">
        <v>247</v>
      </c>
      <c r="C72" s="36" t="s">
        <v>366</v>
      </c>
      <c r="D72" s="36" t="s">
        <v>372</v>
      </c>
      <c r="E72" s="34" t="s">
        <v>373</v>
      </c>
      <c r="F72" s="33" t="s">
        <v>369</v>
      </c>
      <c r="G72" s="33" t="s">
        <v>236</v>
      </c>
      <c r="H72" s="35" t="n">
        <v>60</v>
      </c>
      <c r="I72" s="33"/>
      <c r="J72" s="33" t="s">
        <v>374</v>
      </c>
      <c r="K72" s="33" t="s">
        <v>375</v>
      </c>
    </row>
    <row r="73" customFormat="false" ht="35.05" hidden="false" customHeight="false" outlineLevel="0" collapsed="false">
      <c r="A73" s="36" t="s">
        <v>226</v>
      </c>
      <c r="B73" s="36" t="s">
        <v>247</v>
      </c>
      <c r="C73" s="36" t="s">
        <v>366</v>
      </c>
      <c r="D73" s="36" t="s">
        <v>376</v>
      </c>
      <c r="E73" s="34" t="s">
        <v>377</v>
      </c>
      <c r="F73" s="33" t="s">
        <v>369</v>
      </c>
      <c r="G73" s="33" t="s">
        <v>236</v>
      </c>
      <c r="H73" s="35" t="n">
        <v>90</v>
      </c>
      <c r="I73" s="33" t="s">
        <v>378</v>
      </c>
      <c r="J73" s="33" t="s">
        <v>379</v>
      </c>
      <c r="K73" s="33" t="s">
        <v>380</v>
      </c>
    </row>
    <row r="74" customFormat="false" ht="35.05" hidden="false" customHeight="false" outlineLevel="0" collapsed="false">
      <c r="A74" s="36" t="s">
        <v>226</v>
      </c>
      <c r="B74" s="36" t="s">
        <v>247</v>
      </c>
      <c r="C74" s="36" t="s">
        <v>366</v>
      </c>
      <c r="D74" s="36" t="s">
        <v>381</v>
      </c>
      <c r="E74" s="34" t="s">
        <v>382</v>
      </c>
      <c r="F74" s="33" t="s">
        <v>369</v>
      </c>
      <c r="G74" s="33" t="s">
        <v>236</v>
      </c>
      <c r="H74" s="35" t="n">
        <v>90</v>
      </c>
      <c r="I74" s="33" t="s">
        <v>378</v>
      </c>
      <c r="J74" s="33" t="s">
        <v>383</v>
      </c>
      <c r="K74" s="33" t="s">
        <v>384</v>
      </c>
    </row>
    <row r="75" customFormat="false" ht="35.05" hidden="false" customHeight="false" outlineLevel="0" collapsed="false">
      <c r="A75" s="36" t="s">
        <v>226</v>
      </c>
      <c r="B75" s="36" t="s">
        <v>247</v>
      </c>
      <c r="C75" s="36" t="s">
        <v>366</v>
      </c>
      <c r="D75" s="36" t="s">
        <v>385</v>
      </c>
      <c r="E75" s="34" t="s">
        <v>386</v>
      </c>
      <c r="F75" s="33" t="s">
        <v>369</v>
      </c>
      <c r="G75" s="33" t="s">
        <v>236</v>
      </c>
      <c r="H75" s="35" t="n">
        <v>90</v>
      </c>
      <c r="I75" s="33" t="s">
        <v>378</v>
      </c>
      <c r="J75" s="33" t="s">
        <v>387</v>
      </c>
      <c r="K75" s="33" t="s">
        <v>388</v>
      </c>
    </row>
    <row r="76" customFormat="false" ht="35.05" hidden="false" customHeight="false" outlineLevel="0" collapsed="false">
      <c r="A76" s="36" t="s">
        <v>226</v>
      </c>
      <c r="B76" s="36" t="s">
        <v>247</v>
      </c>
      <c r="C76" s="36" t="s">
        <v>366</v>
      </c>
      <c r="D76" s="36" t="s">
        <v>389</v>
      </c>
      <c r="E76" s="34" t="s">
        <v>390</v>
      </c>
      <c r="F76" s="33" t="s">
        <v>369</v>
      </c>
      <c r="G76" s="33" t="s">
        <v>236</v>
      </c>
      <c r="H76" s="35" t="n">
        <v>90</v>
      </c>
      <c r="I76" s="33" t="s">
        <v>378</v>
      </c>
      <c r="J76" s="33" t="s">
        <v>391</v>
      </c>
      <c r="K76" s="33" t="s">
        <v>392</v>
      </c>
    </row>
    <row r="77" customFormat="false" ht="35.05" hidden="false" customHeight="false" outlineLevel="0" collapsed="false">
      <c r="A77" s="36" t="s">
        <v>226</v>
      </c>
      <c r="B77" s="36" t="s">
        <v>247</v>
      </c>
      <c r="C77" s="36" t="s">
        <v>366</v>
      </c>
      <c r="D77" s="36" t="s">
        <v>393</v>
      </c>
      <c r="E77" s="34" t="s">
        <v>394</v>
      </c>
      <c r="F77" s="33" t="s">
        <v>369</v>
      </c>
      <c r="G77" s="33" t="s">
        <v>236</v>
      </c>
      <c r="H77" s="35" t="n">
        <v>90</v>
      </c>
      <c r="I77" s="33" t="s">
        <v>378</v>
      </c>
      <c r="J77" s="33" t="s">
        <v>395</v>
      </c>
      <c r="K77" s="33" t="s">
        <v>396</v>
      </c>
    </row>
    <row r="78" customFormat="false" ht="15" hidden="false" customHeight="false" outlineLevel="0" collapsed="false">
      <c r="A78" s="36" t="s">
        <v>226</v>
      </c>
      <c r="B78" s="36" t="s">
        <v>247</v>
      </c>
      <c r="C78" s="36" t="s">
        <v>366</v>
      </c>
      <c r="D78" s="36" t="s">
        <v>397</v>
      </c>
      <c r="E78" s="34" t="s">
        <v>398</v>
      </c>
      <c r="F78" s="33" t="s">
        <v>369</v>
      </c>
      <c r="G78" s="33" t="s">
        <v>236</v>
      </c>
      <c r="H78" s="35" t="n">
        <v>30</v>
      </c>
      <c r="I78" s="33" t="s">
        <v>378</v>
      </c>
      <c r="J78" s="33" t="s">
        <v>399</v>
      </c>
      <c r="K78" s="33" t="s">
        <v>400</v>
      </c>
    </row>
    <row r="79" customFormat="false" ht="35.05" hidden="false" customHeight="false" outlineLevel="0" collapsed="false">
      <c r="A79" s="36" t="s">
        <v>226</v>
      </c>
      <c r="B79" s="36" t="s">
        <v>247</v>
      </c>
      <c r="C79" s="36" t="s">
        <v>366</v>
      </c>
      <c r="D79" s="36" t="s">
        <v>401</v>
      </c>
      <c r="E79" s="34" t="s">
        <v>402</v>
      </c>
      <c r="F79" s="33" t="s">
        <v>369</v>
      </c>
      <c r="G79" s="33" t="s">
        <v>236</v>
      </c>
      <c r="H79" s="35" t="n">
        <v>90</v>
      </c>
      <c r="I79" s="33" t="s">
        <v>378</v>
      </c>
      <c r="J79" s="33" t="s">
        <v>403</v>
      </c>
      <c r="K79" s="33" t="s">
        <v>404</v>
      </c>
    </row>
    <row r="80" customFormat="false" ht="35.05" hidden="false" customHeight="false" outlineLevel="0" collapsed="false">
      <c r="A80" s="36" t="s">
        <v>226</v>
      </c>
      <c r="B80" s="36" t="s">
        <v>247</v>
      </c>
      <c r="C80" s="36" t="s">
        <v>366</v>
      </c>
      <c r="D80" s="36" t="s">
        <v>405</v>
      </c>
      <c r="E80" s="34" t="s">
        <v>406</v>
      </c>
      <c r="F80" s="33" t="s">
        <v>369</v>
      </c>
      <c r="G80" s="33" t="s">
        <v>236</v>
      </c>
      <c r="H80" s="35" t="n">
        <v>90</v>
      </c>
      <c r="I80" s="33" t="s">
        <v>378</v>
      </c>
      <c r="J80" s="33" t="s">
        <v>407</v>
      </c>
      <c r="K80" s="33" t="s">
        <v>408</v>
      </c>
    </row>
    <row r="81" customFormat="false" ht="35.05" hidden="false" customHeight="false" outlineLevel="0" collapsed="false">
      <c r="A81" s="36" t="s">
        <v>226</v>
      </c>
      <c r="B81" s="36" t="s">
        <v>247</v>
      </c>
      <c r="C81" s="36" t="s">
        <v>366</v>
      </c>
      <c r="D81" s="36" t="s">
        <v>409</v>
      </c>
      <c r="E81" s="34" t="s">
        <v>410</v>
      </c>
      <c r="F81" s="33" t="s">
        <v>369</v>
      </c>
      <c r="G81" s="33" t="s">
        <v>236</v>
      </c>
      <c r="H81" s="35" t="n">
        <v>90</v>
      </c>
      <c r="I81" s="33" t="s">
        <v>378</v>
      </c>
      <c r="J81" s="33" t="s">
        <v>411</v>
      </c>
      <c r="K81" s="33" t="s">
        <v>412</v>
      </c>
    </row>
    <row r="82" customFormat="false" ht="15" hidden="false" customHeight="false" outlineLevel="0" collapsed="false">
      <c r="A82" s="36" t="s">
        <v>226</v>
      </c>
      <c r="B82" s="36" t="s">
        <v>247</v>
      </c>
      <c r="C82" s="36" t="s">
        <v>366</v>
      </c>
      <c r="D82" s="36" t="s">
        <v>413</v>
      </c>
      <c r="E82" s="34" t="s">
        <v>414</v>
      </c>
      <c r="F82" s="33" t="s">
        <v>369</v>
      </c>
      <c r="G82" s="33" t="s">
        <v>236</v>
      </c>
      <c r="H82" s="35" t="n">
        <v>80</v>
      </c>
      <c r="I82" s="33"/>
      <c r="J82" s="33" t="s">
        <v>415</v>
      </c>
      <c r="K82" s="33" t="s">
        <v>416</v>
      </c>
    </row>
    <row r="83" customFormat="false" ht="15" hidden="false" customHeight="false" outlineLevel="0" collapsed="false">
      <c r="A83" s="36" t="s">
        <v>226</v>
      </c>
      <c r="B83" s="36" t="s">
        <v>247</v>
      </c>
      <c r="C83" s="36" t="s">
        <v>366</v>
      </c>
      <c r="D83" s="36" t="s">
        <v>417</v>
      </c>
      <c r="E83" s="34" t="s">
        <v>418</v>
      </c>
      <c r="F83" s="33" t="s">
        <v>369</v>
      </c>
      <c r="G83" s="33" t="s">
        <v>236</v>
      </c>
      <c r="H83" s="35" t="n">
        <v>40</v>
      </c>
      <c r="I83" s="33"/>
      <c r="J83" s="33" t="s">
        <v>419</v>
      </c>
      <c r="K83" s="33" t="s">
        <v>420</v>
      </c>
    </row>
    <row r="84" customFormat="false" ht="15" hidden="false" customHeight="false" outlineLevel="0" collapsed="false">
      <c r="A84" s="36" t="s">
        <v>226</v>
      </c>
      <c r="B84" s="36" t="s">
        <v>247</v>
      </c>
      <c r="C84" s="36" t="s">
        <v>366</v>
      </c>
      <c r="D84" s="36" t="s">
        <v>421</v>
      </c>
      <c r="E84" s="34" t="s">
        <v>422</v>
      </c>
      <c r="F84" s="33" t="s">
        <v>369</v>
      </c>
      <c r="G84" s="33" t="s">
        <v>236</v>
      </c>
      <c r="H84" s="35" t="n">
        <v>60</v>
      </c>
      <c r="I84" s="33"/>
      <c r="J84" s="33" t="s">
        <v>423</v>
      </c>
      <c r="K84" s="33" t="s">
        <v>424</v>
      </c>
    </row>
    <row r="85" customFormat="false" ht="15" hidden="false" customHeight="false" outlineLevel="0" collapsed="false">
      <c r="A85" s="36" t="s">
        <v>226</v>
      </c>
      <c r="B85" s="36" t="s">
        <v>247</v>
      </c>
      <c r="C85" s="36" t="s">
        <v>366</v>
      </c>
      <c r="D85" s="36" t="s">
        <v>425</v>
      </c>
      <c r="E85" s="34" t="s">
        <v>426</v>
      </c>
      <c r="F85" s="33" t="s">
        <v>369</v>
      </c>
      <c r="G85" s="33" t="s">
        <v>236</v>
      </c>
      <c r="H85" s="35" t="n">
        <v>50</v>
      </c>
      <c r="I85" s="33"/>
      <c r="J85" s="33" t="s">
        <v>427</v>
      </c>
      <c r="K85" s="33" t="s">
        <v>428</v>
      </c>
    </row>
    <row r="86" customFormat="false" ht="35.05" hidden="false" customHeight="false" outlineLevel="0" collapsed="false">
      <c r="A86" s="36" t="s">
        <v>226</v>
      </c>
      <c r="B86" s="36" t="s">
        <v>247</v>
      </c>
      <c r="C86" s="36" t="s">
        <v>429</v>
      </c>
      <c r="D86" s="36" t="s">
        <v>430</v>
      </c>
      <c r="E86" s="34" t="s">
        <v>431</v>
      </c>
      <c r="F86" s="33" t="s">
        <v>432</v>
      </c>
      <c r="G86" s="33" t="s">
        <v>433</v>
      </c>
      <c r="H86" s="35" t="n">
        <v>300</v>
      </c>
      <c r="I86" s="33"/>
      <c r="J86" s="33" t="s">
        <v>434</v>
      </c>
      <c r="K86" s="33" t="s">
        <v>435</v>
      </c>
    </row>
    <row r="87" customFormat="false" ht="35.05" hidden="false" customHeight="false" outlineLevel="0" collapsed="false">
      <c r="A87" s="36" t="s">
        <v>226</v>
      </c>
      <c r="B87" s="36" t="s">
        <v>247</v>
      </c>
      <c r="C87" s="36" t="s">
        <v>429</v>
      </c>
      <c r="D87" s="36" t="s">
        <v>436</v>
      </c>
      <c r="E87" s="34" t="s">
        <v>437</v>
      </c>
      <c r="F87" s="33" t="s">
        <v>438</v>
      </c>
      <c r="G87" s="33" t="s">
        <v>433</v>
      </c>
      <c r="H87" s="35" t="n">
        <v>250</v>
      </c>
      <c r="I87" s="33"/>
      <c r="J87" s="33" t="s">
        <v>439</v>
      </c>
      <c r="K87" s="33" t="s">
        <v>440</v>
      </c>
    </row>
    <row r="88" customFormat="false" ht="15" hidden="false" customHeight="false" outlineLevel="0" collapsed="false">
      <c r="A88" s="36" t="s">
        <v>226</v>
      </c>
      <c r="B88" s="36" t="s">
        <v>247</v>
      </c>
      <c r="C88" s="36" t="s">
        <v>429</v>
      </c>
      <c r="D88" s="36" t="s">
        <v>441</v>
      </c>
      <c r="E88" s="34" t="s">
        <v>442</v>
      </c>
      <c r="F88" s="33"/>
      <c r="G88" s="33" t="s">
        <v>287</v>
      </c>
      <c r="H88" s="35" t="n">
        <v>80</v>
      </c>
      <c r="I88" s="33"/>
      <c r="J88" s="33" t="s">
        <v>443</v>
      </c>
      <c r="K88" s="33" t="s">
        <v>444</v>
      </c>
    </row>
    <row r="89" customFormat="false" ht="15" hidden="false" customHeight="false" outlineLevel="0" collapsed="false">
      <c r="A89" s="36" t="s">
        <v>226</v>
      </c>
      <c r="B89" s="36" t="s">
        <v>247</v>
      </c>
      <c r="C89" s="36" t="s">
        <v>429</v>
      </c>
      <c r="D89" s="36" t="s">
        <v>445</v>
      </c>
      <c r="E89" s="34" t="s">
        <v>446</v>
      </c>
      <c r="F89" s="33"/>
      <c r="G89" s="33" t="s">
        <v>287</v>
      </c>
      <c r="H89" s="35" t="n">
        <v>50</v>
      </c>
      <c r="I89" s="33"/>
      <c r="J89" s="33" t="s">
        <v>447</v>
      </c>
      <c r="K89" s="33" t="s">
        <v>448</v>
      </c>
    </row>
    <row r="90" customFormat="false" ht="23.85" hidden="false" customHeight="false" outlineLevel="0" collapsed="false">
      <c r="A90" s="36" t="s">
        <v>226</v>
      </c>
      <c r="B90" s="36" t="s">
        <v>247</v>
      </c>
      <c r="C90" s="36" t="s">
        <v>449</v>
      </c>
      <c r="D90" s="36" t="s">
        <v>450</v>
      </c>
      <c r="E90" s="34" t="s">
        <v>451</v>
      </c>
      <c r="F90" s="33"/>
      <c r="G90" s="33" t="s">
        <v>452</v>
      </c>
      <c r="H90" s="35" t="n">
        <v>5</v>
      </c>
      <c r="I90" s="33" t="s">
        <v>453</v>
      </c>
      <c r="J90" s="33" t="s">
        <v>454</v>
      </c>
      <c r="K90" s="33" t="s">
        <v>455</v>
      </c>
    </row>
    <row r="91" customFormat="false" ht="35.05" hidden="false" customHeight="false" outlineLevel="0" collapsed="false">
      <c r="A91" s="36" t="s">
        <v>226</v>
      </c>
      <c r="B91" s="36" t="s">
        <v>247</v>
      </c>
      <c r="C91" s="36" t="s">
        <v>449</v>
      </c>
      <c r="D91" s="36" t="s">
        <v>456</v>
      </c>
      <c r="E91" s="34" t="s">
        <v>457</v>
      </c>
      <c r="F91" s="33"/>
      <c r="G91" s="33" t="s">
        <v>452</v>
      </c>
      <c r="H91" s="35" t="n">
        <v>3.5</v>
      </c>
      <c r="I91" s="33" t="s">
        <v>453</v>
      </c>
      <c r="J91" s="33" t="s">
        <v>458</v>
      </c>
      <c r="K91" s="33" t="s">
        <v>459</v>
      </c>
    </row>
    <row r="92" customFormat="false" ht="15" hidden="false" customHeight="false" outlineLevel="0" collapsed="false">
      <c r="A92" s="36" t="s">
        <v>226</v>
      </c>
      <c r="B92" s="36" t="s">
        <v>247</v>
      </c>
      <c r="C92" s="36" t="s">
        <v>460</v>
      </c>
      <c r="D92" s="36" t="s">
        <v>461</v>
      </c>
      <c r="E92" s="34" t="s">
        <v>462</v>
      </c>
      <c r="F92" s="33"/>
      <c r="G92" s="33" t="s">
        <v>452</v>
      </c>
      <c r="H92" s="35" t="n">
        <v>4.5</v>
      </c>
      <c r="I92" s="33" t="s">
        <v>453</v>
      </c>
      <c r="J92" s="33" t="s">
        <v>53</v>
      </c>
      <c r="K92" s="33" t="s">
        <v>463</v>
      </c>
    </row>
    <row r="93" customFormat="false" ht="15" hidden="false" customHeight="false" outlineLevel="0" collapsed="false">
      <c r="A93" s="36" t="s">
        <v>226</v>
      </c>
      <c r="B93" s="36" t="s">
        <v>247</v>
      </c>
      <c r="C93" s="36" t="s">
        <v>460</v>
      </c>
      <c r="D93" s="36" t="s">
        <v>464</v>
      </c>
      <c r="E93" s="34" t="s">
        <v>465</v>
      </c>
      <c r="F93" s="33"/>
      <c r="G93" s="33" t="s">
        <v>452</v>
      </c>
      <c r="H93" s="35" t="n">
        <v>4</v>
      </c>
      <c r="I93" s="33" t="s">
        <v>453</v>
      </c>
      <c r="J93" s="33" t="s">
        <v>466</v>
      </c>
      <c r="K93" s="33" t="s">
        <v>467</v>
      </c>
    </row>
    <row r="94" customFormat="false" ht="15" hidden="false" customHeight="false" outlineLevel="0" collapsed="false">
      <c r="A94" s="36" t="s">
        <v>226</v>
      </c>
      <c r="B94" s="36" t="s">
        <v>247</v>
      </c>
      <c r="C94" s="36" t="s">
        <v>460</v>
      </c>
      <c r="D94" s="36" t="s">
        <v>468</v>
      </c>
      <c r="E94" s="34" t="s">
        <v>469</v>
      </c>
      <c r="F94" s="33"/>
      <c r="G94" s="33" t="s">
        <v>452</v>
      </c>
      <c r="H94" s="35" t="n">
        <v>3.5</v>
      </c>
      <c r="I94" s="33" t="s">
        <v>453</v>
      </c>
      <c r="J94" s="33" t="s">
        <v>470</v>
      </c>
      <c r="K94" s="33" t="s">
        <v>471</v>
      </c>
    </row>
    <row r="95" customFormat="false" ht="15" hidden="false" customHeight="false" outlineLevel="0" collapsed="false">
      <c r="A95" s="36" t="s">
        <v>226</v>
      </c>
      <c r="B95" s="36" t="s">
        <v>247</v>
      </c>
      <c r="C95" s="36" t="s">
        <v>460</v>
      </c>
      <c r="D95" s="36" t="s">
        <v>472</v>
      </c>
      <c r="E95" s="34" t="s">
        <v>473</v>
      </c>
      <c r="F95" s="33"/>
      <c r="G95" s="33" t="s">
        <v>452</v>
      </c>
      <c r="H95" s="35" t="n">
        <v>3.3</v>
      </c>
      <c r="I95" s="33" t="s">
        <v>453</v>
      </c>
      <c r="J95" s="33" t="s">
        <v>474</v>
      </c>
      <c r="K95" s="33" t="s">
        <v>475</v>
      </c>
    </row>
    <row r="96" customFormat="false" ht="15" hidden="false" customHeight="false" outlineLevel="0" collapsed="false">
      <c r="A96" s="36" t="s">
        <v>226</v>
      </c>
      <c r="B96" s="36" t="s">
        <v>247</v>
      </c>
      <c r="C96" s="36" t="s">
        <v>476</v>
      </c>
      <c r="D96" s="36" t="s">
        <v>477</v>
      </c>
      <c r="E96" s="34" t="s">
        <v>478</v>
      </c>
      <c r="F96" s="33"/>
      <c r="G96" s="33" t="s">
        <v>287</v>
      </c>
      <c r="H96" s="35" t="n">
        <v>3</v>
      </c>
      <c r="I96" s="33"/>
      <c r="J96" s="33" t="s">
        <v>479</v>
      </c>
      <c r="K96" s="33" t="s">
        <v>480</v>
      </c>
    </row>
    <row r="97" customFormat="false" ht="15" hidden="false" customHeight="false" outlineLevel="0" collapsed="false">
      <c r="A97" s="36" t="s">
        <v>226</v>
      </c>
      <c r="B97" s="36" t="s">
        <v>247</v>
      </c>
      <c r="C97" s="36" t="s">
        <v>476</v>
      </c>
      <c r="D97" s="36" t="s">
        <v>481</v>
      </c>
      <c r="E97" s="34" t="s">
        <v>482</v>
      </c>
      <c r="F97" s="33"/>
      <c r="G97" s="33" t="s">
        <v>287</v>
      </c>
      <c r="H97" s="35" t="n">
        <v>3</v>
      </c>
      <c r="I97" s="33"/>
      <c r="J97" s="33" t="s">
        <v>483</v>
      </c>
      <c r="K97" s="33" t="s">
        <v>484</v>
      </c>
    </row>
    <row r="98" customFormat="false" ht="35.05" hidden="false" customHeight="false" outlineLevel="0" collapsed="false">
      <c r="A98" s="36" t="s">
        <v>226</v>
      </c>
      <c r="B98" s="36" t="s">
        <v>485</v>
      </c>
      <c r="C98" s="36" t="s">
        <v>485</v>
      </c>
      <c r="D98" s="36" t="s">
        <v>486</v>
      </c>
      <c r="E98" s="34" t="s">
        <v>487</v>
      </c>
      <c r="F98" s="33"/>
      <c r="G98" s="33" t="s">
        <v>100</v>
      </c>
      <c r="H98" s="35" t="n">
        <v>2.4</v>
      </c>
      <c r="I98" s="33"/>
      <c r="J98" s="33" t="s">
        <v>488</v>
      </c>
      <c r="K98" s="33" t="s">
        <v>489</v>
      </c>
    </row>
    <row r="99" customFormat="false" ht="35.05" hidden="false" customHeight="false" outlineLevel="0" collapsed="false">
      <c r="A99" s="36" t="s">
        <v>226</v>
      </c>
      <c r="B99" s="36" t="s">
        <v>485</v>
      </c>
      <c r="C99" s="36" t="s">
        <v>485</v>
      </c>
      <c r="D99" s="36" t="s">
        <v>490</v>
      </c>
      <c r="E99" s="34" t="s">
        <v>491</v>
      </c>
      <c r="F99" s="33"/>
      <c r="G99" s="33" t="s">
        <v>100</v>
      </c>
      <c r="H99" s="35" t="n">
        <v>2.4</v>
      </c>
      <c r="I99" s="33"/>
      <c r="J99" s="33" t="s">
        <v>492</v>
      </c>
      <c r="K99" s="33" t="s">
        <v>493</v>
      </c>
    </row>
    <row r="100" customFormat="false" ht="46.25" hidden="false" customHeight="false" outlineLevel="0" collapsed="false">
      <c r="A100" s="36" t="s">
        <v>226</v>
      </c>
      <c r="B100" s="36" t="s">
        <v>485</v>
      </c>
      <c r="C100" s="36" t="s">
        <v>485</v>
      </c>
      <c r="D100" s="36" t="s">
        <v>494</v>
      </c>
      <c r="E100" s="34" t="s">
        <v>495</v>
      </c>
      <c r="F100" s="33"/>
      <c r="G100" s="33" t="s">
        <v>100</v>
      </c>
      <c r="H100" s="35" t="n">
        <v>3</v>
      </c>
      <c r="I100" s="33"/>
      <c r="J100" s="33" t="s">
        <v>496</v>
      </c>
      <c r="K100" s="33" t="s">
        <v>497</v>
      </c>
    </row>
    <row r="101" customFormat="false" ht="57.45" hidden="false" customHeight="false" outlineLevel="0" collapsed="false">
      <c r="A101" s="36" t="s">
        <v>226</v>
      </c>
      <c r="B101" s="36" t="s">
        <v>498</v>
      </c>
      <c r="C101" s="36" t="s">
        <v>498</v>
      </c>
      <c r="D101" s="36" t="s">
        <v>499</v>
      </c>
      <c r="E101" s="34" t="s">
        <v>500</v>
      </c>
      <c r="F101" s="33"/>
      <c r="G101" s="33" t="s">
        <v>100</v>
      </c>
      <c r="H101" s="35" t="n">
        <v>2.4</v>
      </c>
      <c r="I101" s="33"/>
      <c r="J101" s="33" t="s">
        <v>501</v>
      </c>
      <c r="K101" s="33" t="s">
        <v>502</v>
      </c>
    </row>
    <row r="102" customFormat="false" ht="35.05" hidden="false" customHeight="false" outlineLevel="0" collapsed="false">
      <c r="A102" s="36" t="s">
        <v>226</v>
      </c>
      <c r="B102" s="36" t="s">
        <v>498</v>
      </c>
      <c r="C102" s="36" t="s">
        <v>498</v>
      </c>
      <c r="D102" s="36" t="s">
        <v>503</v>
      </c>
      <c r="E102" s="34" t="s">
        <v>504</v>
      </c>
      <c r="F102" s="33"/>
      <c r="G102" s="33" t="s">
        <v>100</v>
      </c>
      <c r="H102" s="35" t="n">
        <v>2.4</v>
      </c>
      <c r="I102" s="33"/>
      <c r="J102" s="33" t="s">
        <v>505</v>
      </c>
      <c r="K102" s="33" t="s">
        <v>506</v>
      </c>
    </row>
    <row r="103" customFormat="false" ht="23.85" hidden="false" customHeight="false" outlineLevel="0" collapsed="false">
      <c r="A103" s="36" t="s">
        <v>226</v>
      </c>
      <c r="B103" s="36" t="s">
        <v>507</v>
      </c>
      <c r="C103" s="36" t="s">
        <v>507</v>
      </c>
      <c r="D103" s="36" t="s">
        <v>508</v>
      </c>
      <c r="E103" s="34" t="s">
        <v>509</v>
      </c>
      <c r="F103" s="33" t="s">
        <v>510</v>
      </c>
      <c r="G103" s="33" t="s">
        <v>433</v>
      </c>
      <c r="H103" s="35" t="n">
        <v>65</v>
      </c>
      <c r="I103" s="33"/>
      <c r="J103" s="33" t="s">
        <v>511</v>
      </c>
      <c r="K103" s="33" t="s">
        <v>512</v>
      </c>
    </row>
    <row r="104" customFormat="false" ht="23.85" hidden="false" customHeight="false" outlineLevel="0" collapsed="false">
      <c r="A104" s="36" t="s">
        <v>226</v>
      </c>
      <c r="B104" s="36" t="s">
        <v>507</v>
      </c>
      <c r="C104" s="36" t="s">
        <v>507</v>
      </c>
      <c r="D104" s="36" t="s">
        <v>513</v>
      </c>
      <c r="E104" s="34" t="s">
        <v>514</v>
      </c>
      <c r="F104" s="33" t="s">
        <v>510</v>
      </c>
      <c r="G104" s="33" t="s">
        <v>433</v>
      </c>
      <c r="H104" s="35" t="n">
        <v>80</v>
      </c>
      <c r="I104" s="33"/>
      <c r="J104" s="33" t="s">
        <v>515</v>
      </c>
      <c r="K104" s="33" t="s">
        <v>516</v>
      </c>
    </row>
    <row r="105" customFormat="false" ht="23.85" hidden="false" customHeight="false" outlineLevel="0" collapsed="false">
      <c r="A105" s="36" t="s">
        <v>226</v>
      </c>
      <c r="B105" s="36" t="s">
        <v>507</v>
      </c>
      <c r="C105" s="36" t="s">
        <v>507</v>
      </c>
      <c r="D105" s="36" t="s">
        <v>517</v>
      </c>
      <c r="E105" s="34" t="s">
        <v>518</v>
      </c>
      <c r="F105" s="33" t="s">
        <v>510</v>
      </c>
      <c r="G105" s="33" t="s">
        <v>433</v>
      </c>
      <c r="H105" s="35" t="n">
        <v>120</v>
      </c>
      <c r="I105" s="33"/>
      <c r="J105" s="33" t="s">
        <v>519</v>
      </c>
      <c r="K105" s="33" t="s">
        <v>520</v>
      </c>
    </row>
    <row r="106" customFormat="false" ht="23.85" hidden="false" customHeight="false" outlineLevel="0" collapsed="false">
      <c r="A106" s="36" t="s">
        <v>226</v>
      </c>
      <c r="B106" s="36" t="s">
        <v>507</v>
      </c>
      <c r="C106" s="36" t="s">
        <v>507</v>
      </c>
      <c r="D106" s="36" t="s">
        <v>521</v>
      </c>
      <c r="E106" s="34" t="s">
        <v>522</v>
      </c>
      <c r="F106" s="33" t="s">
        <v>510</v>
      </c>
      <c r="G106" s="33" t="s">
        <v>433</v>
      </c>
      <c r="H106" s="35" t="n">
        <v>140</v>
      </c>
      <c r="I106" s="33"/>
      <c r="J106" s="33" t="s">
        <v>523</v>
      </c>
      <c r="K106" s="33" t="s">
        <v>524</v>
      </c>
    </row>
    <row r="107" customFormat="false" ht="23.85" hidden="false" customHeight="false" outlineLevel="0" collapsed="false">
      <c r="A107" s="36" t="s">
        <v>226</v>
      </c>
      <c r="B107" s="36" t="s">
        <v>507</v>
      </c>
      <c r="C107" s="36" t="s">
        <v>507</v>
      </c>
      <c r="D107" s="36" t="s">
        <v>525</v>
      </c>
      <c r="E107" s="34" t="s">
        <v>526</v>
      </c>
      <c r="F107" s="33" t="s">
        <v>510</v>
      </c>
      <c r="G107" s="33" t="s">
        <v>433</v>
      </c>
      <c r="H107" s="35" t="n">
        <v>150</v>
      </c>
      <c r="I107" s="33"/>
      <c r="J107" s="33" t="s">
        <v>527</v>
      </c>
      <c r="K107" s="33" t="s">
        <v>528</v>
      </c>
    </row>
    <row r="108" customFormat="false" ht="23.85" hidden="false" customHeight="false" outlineLevel="0" collapsed="false">
      <c r="A108" s="36" t="s">
        <v>226</v>
      </c>
      <c r="B108" s="36" t="s">
        <v>507</v>
      </c>
      <c r="C108" s="36" t="s">
        <v>507</v>
      </c>
      <c r="D108" s="36" t="s">
        <v>529</v>
      </c>
      <c r="E108" s="34" t="s">
        <v>530</v>
      </c>
      <c r="F108" s="33" t="s">
        <v>510</v>
      </c>
      <c r="G108" s="33" t="s">
        <v>433</v>
      </c>
      <c r="H108" s="35" t="n">
        <v>170</v>
      </c>
      <c r="I108" s="33"/>
      <c r="J108" s="33" t="s">
        <v>531</v>
      </c>
      <c r="K108" s="33" t="s">
        <v>532</v>
      </c>
    </row>
    <row r="109" customFormat="false" ht="23.85" hidden="false" customHeight="false" outlineLevel="0" collapsed="false">
      <c r="A109" s="36" t="s">
        <v>226</v>
      </c>
      <c r="B109" s="36" t="s">
        <v>507</v>
      </c>
      <c r="C109" s="36" t="s">
        <v>507</v>
      </c>
      <c r="D109" s="36" t="s">
        <v>533</v>
      </c>
      <c r="E109" s="34" t="s">
        <v>534</v>
      </c>
      <c r="F109" s="33" t="s">
        <v>510</v>
      </c>
      <c r="G109" s="33" t="s">
        <v>433</v>
      </c>
      <c r="H109" s="35" t="n">
        <v>150</v>
      </c>
      <c r="I109" s="33"/>
      <c r="J109" s="33" t="s">
        <v>535</v>
      </c>
      <c r="K109" s="33" t="s">
        <v>536</v>
      </c>
    </row>
    <row r="110" customFormat="false" ht="23.85" hidden="false" customHeight="false" outlineLevel="0" collapsed="false">
      <c r="A110" s="36" t="s">
        <v>226</v>
      </c>
      <c r="B110" s="36" t="s">
        <v>507</v>
      </c>
      <c r="C110" s="36" t="s">
        <v>507</v>
      </c>
      <c r="D110" s="36" t="s">
        <v>537</v>
      </c>
      <c r="E110" s="34" t="s">
        <v>538</v>
      </c>
      <c r="F110" s="33" t="s">
        <v>510</v>
      </c>
      <c r="G110" s="33" t="s">
        <v>433</v>
      </c>
      <c r="H110" s="35" t="n">
        <v>170</v>
      </c>
      <c r="I110" s="33"/>
      <c r="J110" s="33" t="s">
        <v>539</v>
      </c>
      <c r="K110" s="33" t="s">
        <v>540</v>
      </c>
    </row>
    <row r="111" customFormat="false" ht="15" hidden="false" customHeight="false" outlineLevel="0" collapsed="false">
      <c r="A111" s="36" t="s">
        <v>226</v>
      </c>
      <c r="B111" s="36" t="s">
        <v>541</v>
      </c>
      <c r="C111" s="36" t="s">
        <v>541</v>
      </c>
      <c r="D111" s="36" t="s">
        <v>542</v>
      </c>
      <c r="E111" s="34" t="s">
        <v>543</v>
      </c>
      <c r="F111" s="33"/>
      <c r="G111" s="33" t="s">
        <v>100</v>
      </c>
      <c r="H111" s="35" t="n">
        <v>1.8</v>
      </c>
      <c r="I111" s="33"/>
      <c r="J111" s="33" t="s">
        <v>544</v>
      </c>
      <c r="K111" s="33" t="s">
        <v>545</v>
      </c>
    </row>
    <row r="112" customFormat="false" ht="15" hidden="false" customHeight="false" outlineLevel="0" collapsed="false">
      <c r="A112" s="36" t="s">
        <v>226</v>
      </c>
      <c r="B112" s="36" t="s">
        <v>541</v>
      </c>
      <c r="C112" s="36" t="s">
        <v>541</v>
      </c>
      <c r="D112" s="36" t="s">
        <v>546</v>
      </c>
      <c r="E112" s="34" t="s">
        <v>547</v>
      </c>
      <c r="F112" s="33"/>
      <c r="G112" s="33" t="s">
        <v>100</v>
      </c>
      <c r="H112" s="35" t="n">
        <v>1.8</v>
      </c>
      <c r="I112" s="33"/>
      <c r="J112" s="33" t="s">
        <v>548</v>
      </c>
      <c r="K112" s="33" t="s">
        <v>549</v>
      </c>
    </row>
    <row r="113" customFormat="false" ht="15" hidden="false" customHeight="false" outlineLevel="0" collapsed="false">
      <c r="A113" s="36" t="s">
        <v>226</v>
      </c>
      <c r="B113" s="36" t="s">
        <v>541</v>
      </c>
      <c r="C113" s="36" t="s">
        <v>541</v>
      </c>
      <c r="D113" s="36" t="s">
        <v>550</v>
      </c>
      <c r="E113" s="34" t="s">
        <v>551</v>
      </c>
      <c r="F113" s="33"/>
      <c r="G113" s="33" t="s">
        <v>100</v>
      </c>
      <c r="H113" s="35" t="n">
        <v>1.8</v>
      </c>
      <c r="I113" s="33"/>
      <c r="J113" s="33" t="s">
        <v>552</v>
      </c>
      <c r="K113" s="33" t="s">
        <v>553</v>
      </c>
    </row>
    <row r="114" customFormat="false" ht="15" hidden="false" customHeight="false" outlineLevel="0" collapsed="false">
      <c r="A114" s="36" t="s">
        <v>226</v>
      </c>
      <c r="B114" s="36" t="s">
        <v>541</v>
      </c>
      <c r="C114" s="36" t="s">
        <v>541</v>
      </c>
      <c r="D114" s="36" t="s">
        <v>554</v>
      </c>
      <c r="E114" s="34" t="s">
        <v>555</v>
      </c>
      <c r="F114" s="33"/>
      <c r="G114" s="33" t="s">
        <v>236</v>
      </c>
      <c r="H114" s="35" t="n">
        <v>30</v>
      </c>
      <c r="I114" s="33"/>
      <c r="J114" s="33" t="s">
        <v>556</v>
      </c>
      <c r="K114" s="33" t="s">
        <v>557</v>
      </c>
    </row>
    <row r="115" customFormat="false" ht="15" hidden="false" customHeight="false" outlineLevel="0" collapsed="false">
      <c r="A115" s="36" t="s">
        <v>226</v>
      </c>
      <c r="B115" s="36" t="s">
        <v>541</v>
      </c>
      <c r="C115" s="36" t="s">
        <v>541</v>
      </c>
      <c r="D115" s="36" t="s">
        <v>558</v>
      </c>
      <c r="E115" s="34" t="s">
        <v>559</v>
      </c>
      <c r="F115" s="33"/>
      <c r="G115" s="33" t="s">
        <v>236</v>
      </c>
      <c r="H115" s="35" t="n">
        <v>30</v>
      </c>
      <c r="I115" s="33"/>
      <c r="J115" s="33" t="s">
        <v>560</v>
      </c>
      <c r="K115" s="33" t="s">
        <v>561</v>
      </c>
    </row>
    <row r="116" customFormat="false" ht="15" hidden="false" customHeight="false" outlineLevel="0" collapsed="false">
      <c r="A116" s="36" t="s">
        <v>226</v>
      </c>
      <c r="B116" s="36" t="s">
        <v>541</v>
      </c>
      <c r="C116" s="36" t="s">
        <v>541</v>
      </c>
      <c r="D116" s="36" t="s">
        <v>562</v>
      </c>
      <c r="E116" s="34" t="s">
        <v>563</v>
      </c>
      <c r="F116" s="33"/>
      <c r="G116" s="33" t="s">
        <v>236</v>
      </c>
      <c r="H116" s="35" t="n">
        <v>30</v>
      </c>
      <c r="I116" s="33"/>
      <c r="J116" s="33" t="s">
        <v>564</v>
      </c>
      <c r="K116" s="33" t="s">
        <v>565</v>
      </c>
    </row>
    <row r="117" customFormat="false" ht="15" hidden="false" customHeight="false" outlineLevel="0" collapsed="false">
      <c r="A117" s="36" t="s">
        <v>226</v>
      </c>
      <c r="B117" s="36" t="s">
        <v>541</v>
      </c>
      <c r="C117" s="36" t="s">
        <v>541</v>
      </c>
      <c r="D117" s="36" t="s">
        <v>566</v>
      </c>
      <c r="E117" s="34" t="s">
        <v>567</v>
      </c>
      <c r="F117" s="33" t="s">
        <v>568</v>
      </c>
      <c r="G117" s="33" t="s">
        <v>236</v>
      </c>
      <c r="H117" s="35" t="n">
        <v>150</v>
      </c>
      <c r="I117" s="33"/>
      <c r="J117" s="33" t="s">
        <v>569</v>
      </c>
      <c r="K117" s="33" t="s">
        <v>570</v>
      </c>
    </row>
  </sheetData>
  <autoFilter ref="A1:K117"/>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6"/>
    <col collapsed="false" customWidth="true" hidden="false" outlineLevel="0" max="3" min="3" style="0" width="13"/>
    <col collapsed="false" customWidth="true" hidden="false" outlineLevel="0" max="4" min="4" style="0" width="26"/>
    <col collapsed="false" customWidth="true" hidden="false" outlineLevel="0" max="5" min="5" style="0" width="60"/>
    <col collapsed="false" customWidth="true" hidden="false" outlineLevel="0" max="6" min="6" style="0" width="42"/>
  </cols>
  <sheetData>
    <row r="1" customFormat="false" ht="15" hidden="false" customHeight="false" outlineLevel="0" collapsed="false">
      <c r="A1" s="16" t="s">
        <v>65</v>
      </c>
      <c r="B1" s="16" t="s">
        <v>70</v>
      </c>
      <c r="C1" s="16" t="s">
        <v>571</v>
      </c>
      <c r="D1" s="16" t="s">
        <v>38</v>
      </c>
      <c r="E1" s="16" t="s">
        <v>69</v>
      </c>
      <c r="F1" s="16" t="s">
        <v>71</v>
      </c>
    </row>
    <row r="2" customFormat="false" ht="15" hidden="false" customHeight="false" outlineLevel="0" collapsed="false">
      <c r="A2" s="33" t="s">
        <v>572</v>
      </c>
      <c r="B2" s="33" t="s">
        <v>573</v>
      </c>
      <c r="C2" s="37" t="n">
        <v>1.49061763869132</v>
      </c>
      <c r="D2" s="33" t="s">
        <v>574</v>
      </c>
      <c r="E2" s="34" t="s">
        <v>575</v>
      </c>
      <c r="F2" s="33" t="s">
        <v>576</v>
      </c>
    </row>
    <row r="3" customFormat="false" ht="23.85" hidden="false" customHeight="false" outlineLevel="0" collapsed="false">
      <c r="A3" s="33" t="s">
        <v>577</v>
      </c>
      <c r="B3" s="33" t="s">
        <v>49</v>
      </c>
      <c r="C3" s="37" t="n">
        <v>1.40780554765292</v>
      </c>
      <c r="D3" s="33" t="s">
        <v>574</v>
      </c>
      <c r="E3" s="34" t="s">
        <v>578</v>
      </c>
      <c r="F3" s="33" t="s">
        <v>579</v>
      </c>
    </row>
    <row r="5" customFormat="false" ht="30" hidden="false" customHeight="true" outlineLevel="0" collapsed="false">
      <c r="A5" s="38" t="s">
        <v>580</v>
      </c>
      <c r="B5" s="38"/>
      <c r="C5" s="38"/>
      <c r="D5" s="38"/>
      <c r="E5" s="38"/>
      <c r="F5" s="38"/>
    </row>
  </sheetData>
  <mergeCells count="1">
    <mergeCell ref="A5:F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2026-10-23T12:08:23Z</dcterms:created>
  <dc:creator>openpyxl</dc:creator>
  <dc:description/>
  <dc:language>en-US</dc:language>
  <cp:lastModifiedBy/>
  <dcterms:modified xsi:type="dcterms:W3CDTF">2026-10-23T12:08:23Z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